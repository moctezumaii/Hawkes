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tk-my.sharepoint.com/personal/amolina6_utk_edu/Documents/Documents/projects/Hawkes/"/>
    </mc:Choice>
  </mc:AlternateContent>
  <xr:revisionPtr revIDLastSave="7" documentId="8_{F182C020-EFDC-4746-95CE-A59639456E77}" xr6:coauthVersionLast="47" xr6:coauthVersionMax="47" xr10:uidLastSave="{E2B53318-5E9D-45D8-9DAD-8B073302DCA4}"/>
  <bookViews>
    <workbookView minimized="1" xWindow="30945" yWindow="3105" windowWidth="21600" windowHeight="10530" xr2:uid="{00000000-000D-0000-FFFF-FFFF00000000}"/>
  </bookViews>
  <sheets>
    <sheet name="resultsPN_AllYears7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" l="1"/>
  <c r="I52" i="1"/>
  <c r="I53" i="1" s="1"/>
  <c r="I54" i="1" s="1"/>
  <c r="I55" i="1" s="1"/>
  <c r="I56" i="1" s="1"/>
  <c r="I57" i="1" s="1"/>
  <c r="I58" i="1" s="1"/>
  <c r="I59" i="1" s="1"/>
  <c r="I60" i="1" s="1"/>
  <c r="I61" i="1" s="1"/>
  <c r="I42" i="1"/>
  <c r="I43" i="1" s="1"/>
  <c r="I44" i="1" s="1"/>
  <c r="I45" i="1" s="1"/>
  <c r="I46" i="1" s="1"/>
  <c r="I47" i="1" s="1"/>
  <c r="I48" i="1" s="1"/>
  <c r="I49" i="1" s="1"/>
  <c r="I50" i="1" s="1"/>
  <c r="I51" i="1" s="1"/>
  <c r="I32" i="1"/>
  <c r="I33" i="1" s="1"/>
  <c r="I34" i="1" s="1"/>
  <c r="I35" i="1" s="1"/>
  <c r="I36" i="1" s="1"/>
  <c r="I37" i="1" s="1"/>
  <c r="I38" i="1" s="1"/>
  <c r="I39" i="1" s="1"/>
  <c r="I40" i="1" s="1"/>
  <c r="I41" i="1" s="1"/>
  <c r="I22" i="1"/>
  <c r="I23" i="1" s="1"/>
  <c r="I24" i="1" s="1"/>
  <c r="I25" i="1" s="1"/>
  <c r="I26" i="1" s="1"/>
  <c r="I27" i="1" s="1"/>
  <c r="I28" i="1" s="1"/>
  <c r="I29" i="1" s="1"/>
  <c r="I30" i="1" s="1"/>
  <c r="I31" i="1" s="1"/>
  <c r="I12" i="1"/>
  <c r="I13" i="1" s="1"/>
  <c r="I14" i="1" s="1"/>
  <c r="I15" i="1" s="1"/>
  <c r="I16" i="1" s="1"/>
  <c r="I17" i="1" s="1"/>
  <c r="I18" i="1" s="1"/>
  <c r="I19" i="1" s="1"/>
  <c r="I20" i="1" s="1"/>
  <c r="I21" i="1" s="1"/>
  <c r="I2" i="1"/>
  <c r="I3" i="1" s="1"/>
  <c r="I4" i="1" s="1"/>
  <c r="I5" i="1" s="1"/>
  <c r="I6" i="1" s="1"/>
  <c r="I7" i="1" s="1"/>
  <c r="I8" i="1" s="1"/>
  <c r="I9" i="1" s="1"/>
  <c r="I10" i="1" s="1"/>
  <c r="I11" i="1" s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2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2" i="1"/>
  <c r="K3" i="1"/>
  <c r="J3" i="1"/>
  <c r="J4" i="1"/>
  <c r="J5" i="1"/>
  <c r="J6" i="1"/>
  <c r="J7" i="1"/>
  <c r="J8" i="1"/>
  <c r="J9" i="1"/>
  <c r="J10" i="1"/>
  <c r="J12" i="1"/>
  <c r="N12" i="1" s="1"/>
  <c r="J13" i="1"/>
  <c r="J14" i="1"/>
  <c r="J15" i="1"/>
  <c r="J16" i="1"/>
  <c r="J17" i="1"/>
  <c r="J18" i="1"/>
  <c r="J19" i="1"/>
  <c r="J20" i="1"/>
  <c r="J21" i="1"/>
  <c r="J22" i="1"/>
  <c r="N22" i="1" s="1"/>
  <c r="J23" i="1"/>
  <c r="J24" i="1"/>
  <c r="J25" i="1"/>
  <c r="J26" i="1"/>
  <c r="J27" i="1"/>
  <c r="J28" i="1"/>
  <c r="J29" i="1"/>
  <c r="J30" i="1"/>
  <c r="J31" i="1"/>
  <c r="J32" i="1"/>
  <c r="N32" i="1" s="1"/>
  <c r="J33" i="1"/>
  <c r="J34" i="1"/>
  <c r="J35" i="1"/>
  <c r="J36" i="1"/>
  <c r="J37" i="1"/>
  <c r="J38" i="1"/>
  <c r="J39" i="1"/>
  <c r="J40" i="1"/>
  <c r="J41" i="1"/>
  <c r="J42" i="1"/>
  <c r="N42" i="1" s="1"/>
  <c r="J43" i="1"/>
  <c r="J44" i="1"/>
  <c r="J45" i="1"/>
  <c r="J46" i="1"/>
  <c r="J47" i="1"/>
  <c r="J48" i="1"/>
  <c r="J49" i="1"/>
  <c r="J50" i="1"/>
  <c r="J51" i="1"/>
  <c r="J52" i="1"/>
  <c r="N52" i="1" s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2" i="1"/>
  <c r="N2" i="1" s="1"/>
  <c r="N3" i="1" s="1"/>
  <c r="N4" i="1" l="1"/>
  <c r="N5" i="1" s="1"/>
  <c r="N6" i="1" s="1"/>
  <c r="N7" i="1" s="1"/>
  <c r="N8" i="1" s="1"/>
  <c r="N9" i="1" s="1"/>
  <c r="N10" i="1" s="1"/>
  <c r="N11" i="1" s="1"/>
  <c r="N13" i="1"/>
  <c r="N14" i="1" s="1"/>
  <c r="N15" i="1" s="1"/>
  <c r="N16" i="1" s="1"/>
  <c r="N17" i="1" s="1"/>
  <c r="N43" i="1"/>
  <c r="N44" i="1" s="1"/>
  <c r="N45" i="1" s="1"/>
  <c r="N46" i="1" s="1"/>
  <c r="N47" i="1" s="1"/>
  <c r="N48" i="1" s="1"/>
  <c r="N49" i="1" s="1"/>
  <c r="N23" i="1"/>
  <c r="N24" i="1" s="1"/>
  <c r="N25" i="1" s="1"/>
  <c r="N26" i="1" s="1"/>
  <c r="N27" i="1" s="1"/>
  <c r="N28" i="1" s="1"/>
  <c r="N29" i="1" s="1"/>
  <c r="N30" i="1" s="1"/>
  <c r="N31" i="1" s="1"/>
  <c r="N53" i="1"/>
  <c r="N54" i="1" s="1"/>
  <c r="N55" i="1" s="1"/>
  <c r="N56" i="1" s="1"/>
  <c r="N57" i="1" s="1"/>
  <c r="N58" i="1" s="1"/>
  <c r="N59" i="1" s="1"/>
  <c r="N60" i="1" s="1"/>
  <c r="N61" i="1" s="1"/>
  <c r="N33" i="1"/>
  <c r="N34" i="1" s="1"/>
  <c r="N35" i="1" s="1"/>
  <c r="N36" i="1" s="1"/>
  <c r="N37" i="1" s="1"/>
  <c r="N38" i="1" s="1"/>
  <c r="N39" i="1" s="1"/>
  <c r="N40" i="1" s="1"/>
  <c r="N41" i="1" s="1"/>
  <c r="N18" i="1"/>
  <c r="N19" i="1" s="1"/>
  <c r="N20" i="1" s="1"/>
  <c r="N21" i="1" s="1"/>
  <c r="N50" i="1" l="1"/>
  <c r="N51" i="1" s="1"/>
</calcChain>
</file>

<file path=xl/sharedStrings.xml><?xml version="1.0" encoding="utf-8"?>
<sst xmlns="http://schemas.openxmlformats.org/spreadsheetml/2006/main" count="187" uniqueCount="99">
  <si>
    <t>se</t>
  </si>
  <si>
    <t>lcl</t>
  </si>
  <si>
    <t>ucl</t>
  </si>
  <si>
    <t>fixed</t>
  </si>
  <si>
    <t>note</t>
  </si>
  <si>
    <t>Phi ghatchery2010 c1 a0 t1</t>
  </si>
  <si>
    <t xml:space="preserve">     </t>
  </si>
  <si>
    <t>Phi ghatchery2010 c1 a1.9 t2.9</t>
  </si>
  <si>
    <t>Phi ghatchery2010 c1 a8.81 t9.81</t>
  </si>
  <si>
    <t>Phi ghatchery2010 c1 a17.14 t18.14</t>
  </si>
  <si>
    <t>Phi ghatchery2010 c1 a24.84 t25.84</t>
  </si>
  <si>
    <t>Phi ghatchery2010 c1 a30.63 t31.63</t>
  </si>
  <si>
    <t>Phi ghatchery2010 c1 a34.5 t35.5</t>
  </si>
  <si>
    <t>Phi ghatchery2010 c1 a40.93 t41.93</t>
  </si>
  <si>
    <t>Phi ghatchery2010 c1 a44.63 t45.63</t>
  </si>
  <si>
    <t>Phi ghatchery2010 c1 a60.63 t61.63</t>
  </si>
  <si>
    <t>Phi gwild2010 c1 a0 t1</t>
  </si>
  <si>
    <t>Phi gwild2010 c1 a1.9 t2.9</t>
  </si>
  <si>
    <t>Phi gwild2010 c1 a8.81 t9.81</t>
  </si>
  <si>
    <t>Phi gwild2010 c1 a17.14 t18.14</t>
  </si>
  <si>
    <t>Phi gwild2010 c1 a24.84 t25.84</t>
  </si>
  <si>
    <t>Phi gwild2010 c1 a30.63 t31.63</t>
  </si>
  <si>
    <t>Phi gwild2010 c1 a34.5 t35.5</t>
  </si>
  <si>
    <t>Phi gwild2010 c1 a40.93 t41.93</t>
  </si>
  <si>
    <t>Phi gwild2010 c1 a44.63 t45.63</t>
  </si>
  <si>
    <t>Phi gwild2010 c1 a60.63 t61.63</t>
  </si>
  <si>
    <t>Phi ghatchery2011 c1 a0 t1</t>
  </si>
  <si>
    <t>Phi ghatchery2011 c1 a1.9 t2.9</t>
  </si>
  <si>
    <t>Phi ghatchery2011 c1 a8.81 t9.81</t>
  </si>
  <si>
    <t>Phi ghatchery2011 c1 a17.14 t18.14</t>
  </si>
  <si>
    <t>Phi ghatchery2011 c1 a24.84 t25.84</t>
  </si>
  <si>
    <t>Phi ghatchery2011 c1 a30.63 t31.63</t>
  </si>
  <si>
    <t>Phi ghatchery2011 c1 a34.5 t35.5</t>
  </si>
  <si>
    <t>Phi ghatchery2011 c1 a40.93 t41.93</t>
  </si>
  <si>
    <t>Phi ghatchery2011 c1 a44.63 t45.63</t>
  </si>
  <si>
    <t>Phi ghatchery2011 c1 a60.63 t61.63</t>
  </si>
  <si>
    <t>Phi gwild2011 c1 a0 t1</t>
  </si>
  <si>
    <t>Phi gwild2011 c1 a1.9 t2.9</t>
  </si>
  <si>
    <t>Phi gwild2011 c1 a8.81 t9.81</t>
  </si>
  <si>
    <t>Phi gwild2011 c1 a17.14 t18.14</t>
  </si>
  <si>
    <t>Phi gwild2011 c1 a24.84 t25.84</t>
  </si>
  <si>
    <t>Phi gwild2011 c1 a30.63 t31.63</t>
  </si>
  <si>
    <t>Phi gwild2011 c1 a34.5 t35.5</t>
  </si>
  <si>
    <t>Phi gwild2011 c1 a40.93 t41.93</t>
  </si>
  <si>
    <t>Phi gwild2011 c1 a44.63 t45.63</t>
  </si>
  <si>
    <t>Phi gwild2011 c1 a60.63 t61.63</t>
  </si>
  <si>
    <t>Phi ghatchery2012 c1 a0 t1</t>
  </si>
  <si>
    <t>Phi ghatchery2012 c1 a1.9 t2.9</t>
  </si>
  <si>
    <t>Phi ghatchery2012 c1 a8.81 t9.81</t>
  </si>
  <si>
    <t>Phi ghatchery2012 c1 a17.14 t18.14</t>
  </si>
  <si>
    <t>Phi ghatchery2012 c1 a24.84 t25.84</t>
  </si>
  <si>
    <t>Phi ghatchery2012 c1 a30.63 t31.63</t>
  </si>
  <si>
    <t>Phi ghatchery2012 c1 a34.5 t35.5</t>
  </si>
  <si>
    <t>Phi ghatchery2012 c1 a40.93 t41.93</t>
  </si>
  <si>
    <t>Phi ghatchery2012 c1 a44.63 t45.63</t>
  </si>
  <si>
    <t>Phi ghatchery2012 c1 a60.63 t61.63</t>
  </si>
  <si>
    <t>Phi gwild2012 c1 a0 t1</t>
  </si>
  <si>
    <t>Phi gwild2012 c1 a1.9 t2.9</t>
  </si>
  <si>
    <t>Phi gwild2012 c1 a8.81 t9.81</t>
  </si>
  <si>
    <t>Phi gwild2012 c1 a17.14 t18.14</t>
  </si>
  <si>
    <t>Phi gwild2012 c1 a24.84 t25.84</t>
  </si>
  <si>
    <t>Phi gwild2012 c1 a30.63 t31.63</t>
  </si>
  <si>
    <t>Phi gwild2012 c1 a34.5 t35.5</t>
  </si>
  <si>
    <t>Phi gwild2012 c1 a40.93 t41.93</t>
  </si>
  <si>
    <t>Phi gwild2012 c1 a44.63 t45.63</t>
  </si>
  <si>
    <t>Phi gwild2012 c1 a60.63 t61.63</t>
  </si>
  <si>
    <t>p ghatchery2010 c1 a1.9 t2.9</t>
  </si>
  <si>
    <t>p ghatchery2010 c1 a8.81 t9.81</t>
  </si>
  <si>
    <t>p ghatchery2010 c1 a17.14 t18.14</t>
  </si>
  <si>
    <t>p ghatchery2010 c1 a24.84 t25.84</t>
  </si>
  <si>
    <t>p ghatchery2010 c1 a30.63 t31.63</t>
  </si>
  <si>
    <t>p ghatchery2010 c1 a34.5 t35.5</t>
  </si>
  <si>
    <t>p ghatchery2010 c1 a40.93 t41.93</t>
  </si>
  <si>
    <t>p ghatchery2010 c1 a44.63 t45.63</t>
  </si>
  <si>
    <t>p ghatchery2010 c1 a60.63 t61.63</t>
  </si>
  <si>
    <t>p ghatchery2011 c1 a1.9 t2.9</t>
  </si>
  <si>
    <t>p ghatchery2011 c1 a8.81 t9.81</t>
  </si>
  <si>
    <t>p ghatchery2011 c1 a17.14 t18.14</t>
  </si>
  <si>
    <t>p ghatchery2011 c1 a24.84 t25.84</t>
  </si>
  <si>
    <t>p ghatchery2011 c1 a30.63 t31.63</t>
  </si>
  <si>
    <t>p ghatchery2011 c1 a34.5 t35.5</t>
  </si>
  <si>
    <t>p ghatchery2011 c1 a40.93 t41.93</t>
  </si>
  <si>
    <t>p ghatchery2011 c1 a44.63 t45.63</t>
  </si>
  <si>
    <t>p ghatchery2011 c1 a60.63 t61.63</t>
  </si>
  <si>
    <t>p ghatchery2012 c1 a1.9 t2.9</t>
  </si>
  <si>
    <t>p ghatchery2012 c1 a8.81 t9.81</t>
  </si>
  <si>
    <t>p ghatchery2012 c1 a17.14 t18.14</t>
  </si>
  <si>
    <t>p ghatchery2012 c1 a24.84 t25.84</t>
  </si>
  <si>
    <t>p ghatchery2012 c1 a30.63 t31.63</t>
  </si>
  <si>
    <t>p ghatchery2012 c1 a34.5 t35.5</t>
  </si>
  <si>
    <t>p ghatchery2012 c1 a40.93 t41.93</t>
  </si>
  <si>
    <t>p ghatchery2012 c1 a44.63 t45.63</t>
  </si>
  <si>
    <t>p ghatchery2012 c1 a60.63 t61.63</t>
  </si>
  <si>
    <t>p ghatchery2010 c1 a83.62 t84.62</t>
  </si>
  <si>
    <t>Fixed</t>
  </si>
  <si>
    <t>length</t>
  </si>
  <si>
    <t>CUMMULATIVE</t>
  </si>
  <si>
    <t>estimate (perRKM)</t>
  </si>
  <si>
    <t>SURV whole reach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</si>
</sst>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4" borderId="0" xfId="0" applyFill="1"/>
    <xf numFmtId="11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resultsPN_AllYears72!$I$2:$I$11</c:f>
              <c:numCache>
                <c:formatCode>General</c:formatCode>
                <c:ptCount val="10"/>
                <c:pt idx="0">
                  <c:v>1.9</c:v>
                </c:pt>
                <c:pt idx="1">
                  <c:v>8.81</c:v>
                </c:pt>
                <c:pt idx="2">
                  <c:v>17.14</c:v>
                </c:pt>
                <c:pt idx="3">
                  <c:v>24.84</c:v>
                </c:pt>
                <c:pt idx="4">
                  <c:v>30.63</c:v>
                </c:pt>
                <c:pt idx="5">
                  <c:v>34.5</c:v>
                </c:pt>
                <c:pt idx="6">
                  <c:v>40.93</c:v>
                </c:pt>
                <c:pt idx="7">
                  <c:v>44.63</c:v>
                </c:pt>
                <c:pt idx="8">
                  <c:v>60.63</c:v>
                </c:pt>
                <c:pt idx="9">
                  <c:v>83.62</c:v>
                </c:pt>
              </c:numCache>
            </c:numRef>
          </c:xVal>
          <c:yVal>
            <c:numRef>
              <c:f>resultsPN_AllYears72!$N$2:$N$11</c:f>
              <c:numCache>
                <c:formatCode>General</c:formatCode>
                <c:ptCount val="10"/>
                <c:pt idx="0">
                  <c:v>0.99999848000054714</c:v>
                </c:pt>
                <c:pt idx="1">
                  <c:v>0.97155737327480707</c:v>
                </c:pt>
                <c:pt idx="2">
                  <c:v>0.94364277849487721</c:v>
                </c:pt>
                <c:pt idx="3">
                  <c:v>0.92628734453844386</c:v>
                </c:pt>
                <c:pt idx="4">
                  <c:v>0.92608141645502562</c:v>
                </c:pt>
                <c:pt idx="5">
                  <c:v>0.92419768906553446</c:v>
                </c:pt>
                <c:pt idx="6">
                  <c:v>0.86124762551249234</c:v>
                </c:pt>
                <c:pt idx="7">
                  <c:v>0.79540921897258032</c:v>
                </c:pt>
                <c:pt idx="8">
                  <c:v>0.60716069995352606</c:v>
                </c:pt>
                <c:pt idx="9">
                  <c:v>0.39702489940005614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23-4566-9F88-2ADB8F9B0D2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resultsPN_AllYears72!$I$12:$I$21</c:f>
              <c:numCache>
                <c:formatCode>General</c:formatCode>
                <c:ptCount val="10"/>
                <c:pt idx="0">
                  <c:v>1.9</c:v>
                </c:pt>
                <c:pt idx="1">
                  <c:v>8.81</c:v>
                </c:pt>
                <c:pt idx="2">
                  <c:v>17.14</c:v>
                </c:pt>
                <c:pt idx="3">
                  <c:v>24.84</c:v>
                </c:pt>
                <c:pt idx="4">
                  <c:v>30.63</c:v>
                </c:pt>
                <c:pt idx="5">
                  <c:v>34.5</c:v>
                </c:pt>
                <c:pt idx="6">
                  <c:v>40.93</c:v>
                </c:pt>
                <c:pt idx="7">
                  <c:v>44.63</c:v>
                </c:pt>
                <c:pt idx="8">
                  <c:v>60.63</c:v>
                </c:pt>
                <c:pt idx="9">
                  <c:v>83.62</c:v>
                </c:pt>
              </c:numCache>
            </c:numRef>
          </c:xVal>
          <c:yVal>
            <c:numRef>
              <c:f>resultsPN_AllYears72!$N$12:$N$21</c:f>
              <c:numCache>
                <c:formatCode>General</c:formatCode>
                <c:ptCount val="10"/>
                <c:pt idx="0">
                  <c:v>0.9999988600003078</c:v>
                </c:pt>
                <c:pt idx="1">
                  <c:v>0.91800223491410182</c:v>
                </c:pt>
                <c:pt idx="2">
                  <c:v>0.90256527991217395</c:v>
                </c:pt>
                <c:pt idx="3">
                  <c:v>0.84880503171607757</c:v>
                </c:pt>
                <c:pt idx="4">
                  <c:v>0.83163205373894189</c:v>
                </c:pt>
                <c:pt idx="5">
                  <c:v>0.82596720188756512</c:v>
                </c:pt>
                <c:pt idx="6">
                  <c:v>0.72027036974830627</c:v>
                </c:pt>
                <c:pt idx="7">
                  <c:v>0.70976772341116934</c:v>
                </c:pt>
                <c:pt idx="8">
                  <c:v>0.53958188050777622</c:v>
                </c:pt>
                <c:pt idx="9">
                  <c:v>0.32272433883238022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23-4566-9F88-2ADB8F9B0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86736"/>
        <c:axId val="997705552"/>
      </c:scatterChart>
      <c:valAx>
        <c:axId val="31186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705552"/>
        <c:crosses val="autoZero"/>
        <c:crossBetween val="midCat"/>
      </c:valAx>
      <c:valAx>
        <c:axId val="99770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86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resultsPN_AllYears72!$I$22:$I$31</c:f>
              <c:numCache>
                <c:formatCode>General</c:formatCode>
                <c:ptCount val="10"/>
                <c:pt idx="0">
                  <c:v>1.9</c:v>
                </c:pt>
                <c:pt idx="1">
                  <c:v>8.81</c:v>
                </c:pt>
                <c:pt idx="2">
                  <c:v>17.14</c:v>
                </c:pt>
                <c:pt idx="3">
                  <c:v>24.84</c:v>
                </c:pt>
                <c:pt idx="4">
                  <c:v>30.63</c:v>
                </c:pt>
                <c:pt idx="5">
                  <c:v>34.5</c:v>
                </c:pt>
                <c:pt idx="6">
                  <c:v>40.93</c:v>
                </c:pt>
                <c:pt idx="7">
                  <c:v>44.63</c:v>
                </c:pt>
                <c:pt idx="8">
                  <c:v>60.63</c:v>
                </c:pt>
                <c:pt idx="9">
                  <c:v>83.62</c:v>
                </c:pt>
              </c:numCache>
            </c:numRef>
          </c:xVal>
          <c:yVal>
            <c:numRef>
              <c:f>resultsPN_AllYears72!$N$22:$N$31</c:f>
              <c:numCache>
                <c:formatCode>General</c:formatCode>
                <c:ptCount val="10"/>
                <c:pt idx="0">
                  <c:v>0.99999924000013674</c:v>
                </c:pt>
                <c:pt idx="1">
                  <c:v>0.98599505325079917</c:v>
                </c:pt>
                <c:pt idx="2">
                  <c:v>0.97204687005132451</c:v>
                </c:pt>
                <c:pt idx="3">
                  <c:v>0.96327047938351362</c:v>
                </c:pt>
                <c:pt idx="4">
                  <c:v>0.96316618786984975</c:v>
                </c:pt>
                <c:pt idx="5">
                  <c:v>0.96220895811414819</c:v>
                </c:pt>
                <c:pt idx="6">
                  <c:v>0.92954043101556705</c:v>
                </c:pt>
                <c:pt idx="7">
                  <c:v>0.89394700413933559</c:v>
                </c:pt>
                <c:pt idx="8">
                  <c:v>0.78306076513529144</c:v>
                </c:pt>
                <c:pt idx="9">
                  <c:v>0.63575383793930274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0A-49DD-B461-A06231B0EB1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resultsPN_AllYears72!$I$32:$I$41</c:f>
              <c:numCache>
                <c:formatCode>General</c:formatCode>
                <c:ptCount val="10"/>
                <c:pt idx="0">
                  <c:v>1.9</c:v>
                </c:pt>
                <c:pt idx="1">
                  <c:v>8.81</c:v>
                </c:pt>
                <c:pt idx="2">
                  <c:v>17.14</c:v>
                </c:pt>
                <c:pt idx="3">
                  <c:v>24.84</c:v>
                </c:pt>
                <c:pt idx="4">
                  <c:v>30.63</c:v>
                </c:pt>
                <c:pt idx="5">
                  <c:v>34.5</c:v>
                </c:pt>
                <c:pt idx="6">
                  <c:v>40.93</c:v>
                </c:pt>
                <c:pt idx="7">
                  <c:v>44.63</c:v>
                </c:pt>
                <c:pt idx="8">
                  <c:v>60.63</c:v>
                </c:pt>
                <c:pt idx="9">
                  <c:v>83.62</c:v>
                </c:pt>
              </c:numCache>
            </c:numRef>
          </c:xVal>
          <c:yVal>
            <c:numRef>
              <c:f>resultsPN_AllYears72!$N$32:$N$41</c:f>
              <c:numCache>
                <c:formatCode>General</c:formatCode>
                <c:ptCount val="10"/>
                <c:pt idx="0">
                  <c:v>0.99999943000007707</c:v>
                </c:pt>
                <c:pt idx="1">
                  <c:v>0.95895865135037839</c:v>
                </c:pt>
                <c:pt idx="2">
                  <c:v>0.95104652715620963</c:v>
                </c:pt>
                <c:pt idx="3">
                  <c:v>0.92289550642607354</c:v>
                </c:pt>
                <c:pt idx="4">
                  <c:v>0.91372221499554862</c:v>
                </c:pt>
                <c:pt idx="5">
                  <c:v>0.91067644997544861</c:v>
                </c:pt>
                <c:pt idx="6">
                  <c:v>0.85146995198385356</c:v>
                </c:pt>
                <c:pt idx="7">
                  <c:v>0.84537879097169499</c:v>
                </c:pt>
                <c:pt idx="8">
                  <c:v>0.73903103944518511</c:v>
                </c:pt>
                <c:pt idx="9">
                  <c:v>0.5741734722060341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0A-49DD-B461-A06231B0E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1419968"/>
        <c:axId val="1001422368"/>
      </c:scatterChart>
      <c:valAx>
        <c:axId val="1001419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422368"/>
        <c:crosses val="autoZero"/>
        <c:crossBetween val="midCat"/>
      </c:valAx>
      <c:valAx>
        <c:axId val="100142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419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resultsPN_AllYears72!$I$42:$I$51</c:f>
              <c:numCache>
                <c:formatCode>General</c:formatCode>
                <c:ptCount val="10"/>
                <c:pt idx="0">
                  <c:v>1.9</c:v>
                </c:pt>
                <c:pt idx="1">
                  <c:v>8.81</c:v>
                </c:pt>
                <c:pt idx="2">
                  <c:v>17.14</c:v>
                </c:pt>
                <c:pt idx="3">
                  <c:v>24.84</c:v>
                </c:pt>
                <c:pt idx="4">
                  <c:v>30.63</c:v>
                </c:pt>
                <c:pt idx="5">
                  <c:v>34.5</c:v>
                </c:pt>
                <c:pt idx="6">
                  <c:v>40.93</c:v>
                </c:pt>
                <c:pt idx="7">
                  <c:v>44.63</c:v>
                </c:pt>
                <c:pt idx="8">
                  <c:v>60.63</c:v>
                </c:pt>
                <c:pt idx="9">
                  <c:v>83.62</c:v>
                </c:pt>
              </c:numCache>
            </c:numRef>
          </c:xVal>
          <c:yVal>
            <c:numRef>
              <c:f>resultsPN_AllYears72!$N$42:$N$51</c:f>
              <c:numCache>
                <c:formatCode>General</c:formatCode>
                <c:ptCount val="10"/>
                <c:pt idx="0">
                  <c:v>0.99999943000007707</c:v>
                </c:pt>
                <c:pt idx="1">
                  <c:v>0.98856373912411188</c:v>
                </c:pt>
                <c:pt idx="2">
                  <c:v>0.97714462268548741</c:v>
                </c:pt>
                <c:pt idx="3">
                  <c:v>0.96994475665065438</c:v>
                </c:pt>
                <c:pt idx="4">
                  <c:v>0.96985883530301009</c:v>
                </c:pt>
                <c:pt idx="5">
                  <c:v>0.96907274406916843</c:v>
                </c:pt>
                <c:pt idx="6">
                  <c:v>0.94214723909828502</c:v>
                </c:pt>
                <c:pt idx="7">
                  <c:v>0.91259825830751629</c:v>
                </c:pt>
                <c:pt idx="8">
                  <c:v>0.81912020364998828</c:v>
                </c:pt>
                <c:pt idx="9">
                  <c:v>0.69102043774252386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44-4241-AD21-C1B4902868F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resultsPN_AllYears72!$I$52:$I$61</c:f>
              <c:numCache>
                <c:formatCode>General</c:formatCode>
                <c:ptCount val="10"/>
                <c:pt idx="0">
                  <c:v>1.9</c:v>
                </c:pt>
                <c:pt idx="1">
                  <c:v>8.81</c:v>
                </c:pt>
                <c:pt idx="2">
                  <c:v>17.14</c:v>
                </c:pt>
                <c:pt idx="3">
                  <c:v>24.84</c:v>
                </c:pt>
                <c:pt idx="4">
                  <c:v>30.63</c:v>
                </c:pt>
                <c:pt idx="5">
                  <c:v>34.5</c:v>
                </c:pt>
                <c:pt idx="6">
                  <c:v>40.93</c:v>
                </c:pt>
                <c:pt idx="7">
                  <c:v>44.63</c:v>
                </c:pt>
                <c:pt idx="8">
                  <c:v>60.63</c:v>
                </c:pt>
                <c:pt idx="9">
                  <c:v>83.62</c:v>
                </c:pt>
              </c:numCache>
            </c:numRef>
          </c:xVal>
          <c:yVal>
            <c:numRef>
              <c:f>resultsPN_AllYears72!$N$52:$N$61</c:f>
              <c:numCache>
                <c:formatCode>General</c:formatCode>
                <c:ptCount val="10"/>
                <c:pt idx="0">
                  <c:v>0.99999943000007707</c:v>
                </c:pt>
                <c:pt idx="1">
                  <c:v>0.96638920767580228</c:v>
                </c:pt>
                <c:pt idx="2">
                  <c:v>0.95988241223276183</c:v>
                </c:pt>
                <c:pt idx="3">
                  <c:v>0.93664352621849889</c:v>
                </c:pt>
                <c:pt idx="4">
                  <c:v>0.92904472401058513</c:v>
                </c:pt>
                <c:pt idx="5">
                  <c:v>0.9265186279047759</c:v>
                </c:pt>
                <c:pt idx="6">
                  <c:v>0.87705542268896641</c:v>
                </c:pt>
                <c:pt idx="7">
                  <c:v>0.87193520582749351</c:v>
                </c:pt>
                <c:pt idx="8">
                  <c:v>0.78133864835232436</c:v>
                </c:pt>
                <c:pt idx="9">
                  <c:v>0.63587175246499439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44-4241-AD21-C1B490286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1296624"/>
        <c:axId val="794481120"/>
      </c:scatterChart>
      <c:valAx>
        <c:axId val="1001296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481120"/>
        <c:crosses val="autoZero"/>
        <c:crossBetween val="midCat"/>
      </c:valAx>
      <c:valAx>
        <c:axId val="79448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296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466725</xdr:colOff>
      <xdr:row>4</xdr:row>
      <xdr:rowOff>71437</xdr:rowOff>
    </xdr:from>
    <xdr:to>
      <xdr:col>22</xdr:col>
      <xdr:colOff>161925</xdr:colOff>
      <xdr:row>18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C1BD9B-FF0A-4D73-1536-9A731061BE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19050</xdr:colOff>
      <xdr:row>20</xdr:row>
      <xdr:rowOff>33337</xdr:rowOff>
    </xdr:from>
    <xdr:to>
      <xdr:col>22</xdr:col>
      <xdr:colOff>323850</xdr:colOff>
      <xdr:row>34</xdr:row>
      <xdr:rowOff>109537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B3DE65F-8590-2225-950C-086E093ECD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133350</xdr:colOff>
      <xdr:row>35</xdr:row>
      <xdr:rowOff>90487</xdr:rowOff>
    </xdr:from>
    <xdr:to>
      <xdr:col>22</xdr:col>
      <xdr:colOff>438150</xdr:colOff>
      <xdr:row>49</xdr:row>
      <xdr:rowOff>166687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36EB267-BCA9-3BAF-E6B8-5609EDEF92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9"/>
  <sheetViews>
    <sheetView tabSelected="1" topLeftCell="A22" workbookViewId="0">
      <selection activeCell="A21" sqref="A21"/>
    </sheetView>
  </sheetViews>
  <sheetFormatPr defaultRowHeight="15" x14ac:dyDescent="0.25"/>
  <cols>
    <col min="1" max="1" width="31.7109375" bestFit="1" customWidth="1"/>
    <col min="2" max="2" width="15.42578125" customWidth="1"/>
    <col min="10" max="10" width="11.140625" customWidth="1"/>
  </cols>
  <sheetData>
    <row r="1" spans="1:14" x14ac:dyDescent="0.25">
      <c r="B1" t="s">
        <v>97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95</v>
      </c>
      <c r="J1" t="s">
        <v>98</v>
      </c>
      <c r="K1" t="s">
        <v>1</v>
      </c>
      <c r="L1" t="s">
        <v>2</v>
      </c>
      <c r="N1" t="s">
        <v>96</v>
      </c>
    </row>
    <row r="2" spans="1:14" x14ac:dyDescent="0.25">
      <c r="A2" s="2" t="s">
        <v>5</v>
      </c>
      <c r="B2" s="2">
        <v>0.99999919999999998</v>
      </c>
      <c r="C2" s="2">
        <v>0</v>
      </c>
      <c r="D2" s="2">
        <v>0.99999919999999998</v>
      </c>
      <c r="E2" s="2">
        <v>0.99999919999999998</v>
      </c>
      <c r="F2" s="2" t="s">
        <v>6</v>
      </c>
      <c r="G2" s="2"/>
      <c r="H2" s="2">
        <v>1.9</v>
      </c>
      <c r="I2" s="2">
        <f>H2</f>
        <v>1.9</v>
      </c>
      <c r="J2" s="2">
        <f>B2^H2</f>
        <v>0.99999848000054714</v>
      </c>
      <c r="K2" s="2">
        <f>D2^H2</f>
        <v>0.99999848000054714</v>
      </c>
      <c r="L2" s="2">
        <f>E2^H2</f>
        <v>0.99999848000054714</v>
      </c>
      <c r="M2" s="2"/>
      <c r="N2" s="2">
        <f>J2</f>
        <v>0.99999848000054714</v>
      </c>
    </row>
    <row r="3" spans="1:14" x14ac:dyDescent="0.25">
      <c r="A3" s="2" t="s">
        <v>7</v>
      </c>
      <c r="B3" s="2">
        <v>0.99583310000000003</v>
      </c>
      <c r="C3" s="2">
        <v>1.0893999999999999E-3</v>
      </c>
      <c r="D3" s="2">
        <v>0.99304879999999995</v>
      </c>
      <c r="E3" s="2">
        <v>0.99750499999999998</v>
      </c>
      <c r="F3" s="2" t="s">
        <v>6</v>
      </c>
      <c r="G3" s="2"/>
      <c r="H3" s="2">
        <v>6.91</v>
      </c>
      <c r="I3" s="2">
        <f>I2+H3</f>
        <v>8.81</v>
      </c>
      <c r="J3" s="2">
        <f t="shared" ref="J3:J66" si="0">B3^H3</f>
        <v>0.97155885004372755</v>
      </c>
      <c r="K3" s="2">
        <f>D3^H3</f>
        <v>0.95294269103371987</v>
      </c>
      <c r="L3" s="2">
        <f t="shared" ref="L3:L66" si="1">E3^H3</f>
        <v>0.98288614131289775</v>
      </c>
      <c r="M3" s="2"/>
      <c r="N3" s="2">
        <f>N2*J3</f>
        <v>0.97155737327480707</v>
      </c>
    </row>
    <row r="4" spans="1:14" x14ac:dyDescent="0.25">
      <c r="A4" s="2" t="s">
        <v>8</v>
      </c>
      <c r="B4" s="2">
        <v>0.99650640000000001</v>
      </c>
      <c r="C4" s="2">
        <v>8.1453820000000003E-4</v>
      </c>
      <c r="D4" s="2">
        <v>0.99448499999999995</v>
      </c>
      <c r="E4" s="2">
        <v>0.99778860000000003</v>
      </c>
      <c r="F4" s="2" t="s">
        <v>6</v>
      </c>
      <c r="G4" s="2"/>
      <c r="H4" s="2">
        <v>8.33</v>
      </c>
      <c r="I4" s="2">
        <f t="shared" ref="I4:I11" si="2">I3+H4</f>
        <v>17.14</v>
      </c>
      <c r="J4" s="2">
        <f t="shared" si="0"/>
        <v>0.97126819728016811</v>
      </c>
      <c r="K4" s="2">
        <f t="shared" ref="K4:K67" si="3">D4^H4</f>
        <v>0.95497788378953785</v>
      </c>
      <c r="L4" s="2">
        <f t="shared" si="1"/>
        <v>0.98172764127976175</v>
      </c>
      <c r="M4" s="2"/>
      <c r="N4" s="2">
        <f>N3*J4</f>
        <v>0.94364277849487721</v>
      </c>
    </row>
    <row r="5" spans="1:14" x14ac:dyDescent="0.25">
      <c r="A5" s="2" t="s">
        <v>9</v>
      </c>
      <c r="B5" s="2">
        <v>0.99759209999999998</v>
      </c>
      <c r="C5" s="2">
        <v>7.3406800000000005E-4</v>
      </c>
      <c r="D5" s="2">
        <v>0.99562569999999995</v>
      </c>
      <c r="E5" s="2">
        <v>0.99867570000000006</v>
      </c>
      <c r="F5" s="2" t="s">
        <v>6</v>
      </c>
      <c r="G5" s="2"/>
      <c r="H5" s="2">
        <v>7.7</v>
      </c>
      <c r="I5" s="2">
        <f t="shared" si="2"/>
        <v>24.84</v>
      </c>
      <c r="J5" s="2">
        <f t="shared" si="0"/>
        <v>0.98160804665499002</v>
      </c>
      <c r="K5" s="2">
        <f t="shared" si="3"/>
        <v>0.96680738327534443</v>
      </c>
      <c r="L5" s="2">
        <f t="shared" si="1"/>
        <v>0.98984801485895735</v>
      </c>
      <c r="M5" s="2"/>
      <c r="N5" s="2">
        <f t="shared" ref="N5:N10" si="4">N4*J5</f>
        <v>0.92628734453844386</v>
      </c>
    </row>
    <row r="6" spans="1:14" x14ac:dyDescent="0.25">
      <c r="A6" s="2" t="s">
        <v>10</v>
      </c>
      <c r="B6" s="2">
        <v>0.99996160000000001</v>
      </c>
      <c r="C6" s="2">
        <v>1.514903E-4</v>
      </c>
      <c r="D6" s="2">
        <v>0.91917879999999996</v>
      </c>
      <c r="E6" s="2">
        <v>1</v>
      </c>
      <c r="F6" s="2" t="s">
        <v>6</v>
      </c>
      <c r="G6" s="2"/>
      <c r="H6" s="2">
        <v>5.79</v>
      </c>
      <c r="I6" s="2">
        <f t="shared" si="2"/>
        <v>30.63</v>
      </c>
      <c r="J6" s="2">
        <f t="shared" si="0"/>
        <v>0.99977768444680537</v>
      </c>
      <c r="K6" s="2">
        <f t="shared" si="3"/>
        <v>0.61388354922177235</v>
      </c>
      <c r="L6" s="2">
        <f t="shared" si="1"/>
        <v>1</v>
      </c>
      <c r="M6" s="2"/>
      <c r="N6" s="2">
        <f t="shared" si="4"/>
        <v>0.92608141645502562</v>
      </c>
    </row>
    <row r="7" spans="1:14" x14ac:dyDescent="0.25">
      <c r="A7" s="2" t="s">
        <v>11</v>
      </c>
      <c r="B7" s="2">
        <v>0.99947399999999997</v>
      </c>
      <c r="C7" s="2">
        <v>4.6070390000000001E-4</v>
      </c>
      <c r="D7" s="2">
        <v>0.99707659999999998</v>
      </c>
      <c r="E7" s="2">
        <v>0.99990559999999995</v>
      </c>
      <c r="F7" s="2" t="s">
        <v>6</v>
      </c>
      <c r="G7" s="2"/>
      <c r="H7" s="2">
        <v>3.87</v>
      </c>
      <c r="I7" s="2">
        <f t="shared" si="2"/>
        <v>34.5</v>
      </c>
      <c r="J7" s="2">
        <f t="shared" si="0"/>
        <v>0.99796591600261031</v>
      </c>
      <c r="K7" s="2">
        <f t="shared" si="3"/>
        <v>0.98873381683815165</v>
      </c>
      <c r="L7" s="2">
        <f t="shared" si="1"/>
        <v>0.99963472148587995</v>
      </c>
      <c r="M7" s="2"/>
      <c r="N7" s="2">
        <f t="shared" si="4"/>
        <v>0.92419768906553446</v>
      </c>
    </row>
    <row r="8" spans="1:14" x14ac:dyDescent="0.25">
      <c r="A8" s="2" t="s">
        <v>12</v>
      </c>
      <c r="B8" s="2">
        <v>0.98908890000000005</v>
      </c>
      <c r="C8" s="2">
        <v>1.7987000000000001E-3</v>
      </c>
      <c r="D8" s="2">
        <v>0.9849369</v>
      </c>
      <c r="E8" s="2">
        <v>0.99210569999999998</v>
      </c>
      <c r="F8" s="2" t="s">
        <v>6</v>
      </c>
      <c r="G8" s="2"/>
      <c r="H8" s="2">
        <v>6.43</v>
      </c>
      <c r="I8" s="2">
        <f t="shared" si="2"/>
        <v>40.93</v>
      </c>
      <c r="J8" s="2">
        <f t="shared" si="0"/>
        <v>0.93188679835729571</v>
      </c>
      <c r="K8" s="2">
        <f t="shared" si="3"/>
        <v>0.90701833326651937</v>
      </c>
      <c r="L8" s="2">
        <f t="shared" si="1"/>
        <v>0.95031500184810458</v>
      </c>
      <c r="M8" s="2"/>
      <c r="N8" s="2">
        <f t="shared" si="4"/>
        <v>0.86124762551249234</v>
      </c>
    </row>
    <row r="9" spans="1:14" x14ac:dyDescent="0.25">
      <c r="A9" s="2" t="s">
        <v>13</v>
      </c>
      <c r="B9" s="2">
        <v>0.97873600000000005</v>
      </c>
      <c r="C9" s="2">
        <v>3.8062999999999999E-3</v>
      </c>
      <c r="D9" s="2">
        <v>0.96984490000000001</v>
      </c>
      <c r="E9" s="2">
        <v>0.98504610000000004</v>
      </c>
      <c r="F9" s="2" t="s">
        <v>6</v>
      </c>
      <c r="G9" s="2"/>
      <c r="H9" s="2">
        <v>3.7</v>
      </c>
      <c r="I9" s="2">
        <f t="shared" si="2"/>
        <v>44.63</v>
      </c>
      <c r="J9" s="2">
        <f t="shared" si="0"/>
        <v>0.92355461473611111</v>
      </c>
      <c r="K9" s="2">
        <f t="shared" si="3"/>
        <v>0.89289102899377337</v>
      </c>
      <c r="L9" s="2">
        <f t="shared" si="1"/>
        <v>0.94577810719249422</v>
      </c>
      <c r="M9" s="2"/>
      <c r="N9" s="2">
        <f t="shared" si="4"/>
        <v>0.79540921897258032</v>
      </c>
    </row>
    <row r="10" spans="1:14" x14ac:dyDescent="0.25">
      <c r="A10" s="2" t="s">
        <v>14</v>
      </c>
      <c r="B10" s="2">
        <v>0.98326270000000005</v>
      </c>
      <c r="C10" s="2">
        <v>1.9484000000000001E-3</v>
      </c>
      <c r="D10" s="2">
        <v>0.97898289999999999</v>
      </c>
      <c r="E10" s="2">
        <v>0.98668270000000002</v>
      </c>
      <c r="F10" s="2" t="s">
        <v>6</v>
      </c>
      <c r="G10" s="2"/>
      <c r="H10" s="2">
        <v>16</v>
      </c>
      <c r="I10" s="2">
        <f t="shared" si="2"/>
        <v>60.63</v>
      </c>
      <c r="J10" s="2">
        <f t="shared" si="0"/>
        <v>0.763331233120214</v>
      </c>
      <c r="K10" s="2">
        <f t="shared" si="3"/>
        <v>0.71187164726754226</v>
      </c>
      <c r="L10" s="2">
        <f t="shared" si="1"/>
        <v>0.8069380919860869</v>
      </c>
      <c r="M10" s="2"/>
      <c r="N10" s="2">
        <f t="shared" si="4"/>
        <v>0.60716069995352606</v>
      </c>
    </row>
    <row r="11" spans="1:14" x14ac:dyDescent="0.25">
      <c r="A11" s="2" t="s">
        <v>15</v>
      </c>
      <c r="B11" s="2">
        <v>0.98169229999999996</v>
      </c>
      <c r="C11" s="2">
        <v>2.0298E-3</v>
      </c>
      <c r="D11" s="2">
        <v>0.9772594</v>
      </c>
      <c r="E11" s="2">
        <v>0.98527410000000004</v>
      </c>
      <c r="F11" s="2" t="s">
        <v>6</v>
      </c>
      <c r="G11" s="2"/>
      <c r="H11" s="2">
        <v>22.99</v>
      </c>
      <c r="I11" s="2">
        <f t="shared" si="2"/>
        <v>83.62</v>
      </c>
      <c r="J11" s="2">
        <f>B11^H11</f>
        <v>0.65390414667887042</v>
      </c>
      <c r="K11" s="2">
        <f t="shared" si="3"/>
        <v>0.58928664754012472</v>
      </c>
      <c r="L11" s="2">
        <f t="shared" si="1"/>
        <v>0.7110120499779905</v>
      </c>
      <c r="M11" s="2"/>
      <c r="N11" s="2">
        <f>N10*J11</f>
        <v>0.39702489940005614</v>
      </c>
    </row>
    <row r="12" spans="1:14" x14ac:dyDescent="0.25">
      <c r="A12" s="3" t="s">
        <v>16</v>
      </c>
      <c r="B12" s="3">
        <v>0.99999939999999998</v>
      </c>
      <c r="C12" s="4">
        <v>3.5590999999999999E-5</v>
      </c>
      <c r="D12" s="4">
        <v>5.8549250000000003E-42</v>
      </c>
      <c r="E12" s="3">
        <v>1</v>
      </c>
      <c r="F12" s="3" t="s">
        <v>6</v>
      </c>
      <c r="G12" s="3"/>
      <c r="H12" s="3">
        <v>1.9</v>
      </c>
      <c r="I12" s="3">
        <f>H12</f>
        <v>1.9</v>
      </c>
      <c r="J12" s="3">
        <f t="shared" si="0"/>
        <v>0.9999988600003078</v>
      </c>
      <c r="K12" s="3">
        <f t="shared" si="3"/>
        <v>4.5529254466839631E-79</v>
      </c>
      <c r="L12" s="3">
        <f t="shared" si="1"/>
        <v>1</v>
      </c>
      <c r="M12" s="3"/>
      <c r="N12" s="3">
        <f>J12</f>
        <v>0.9999988600003078</v>
      </c>
    </row>
    <row r="13" spans="1:14" x14ac:dyDescent="0.25">
      <c r="A13" s="3" t="s">
        <v>17</v>
      </c>
      <c r="B13" s="3">
        <v>0.98769510000000005</v>
      </c>
      <c r="C13" s="3">
        <v>2.1738E-3</v>
      </c>
      <c r="D13" s="3">
        <v>0.98261849999999995</v>
      </c>
      <c r="E13" s="3">
        <v>0.99130209999999996</v>
      </c>
      <c r="F13" s="3" t="s">
        <v>6</v>
      </c>
      <c r="G13" s="3"/>
      <c r="H13" s="3">
        <v>6.91</v>
      </c>
      <c r="I13" s="3">
        <f>I12+H13</f>
        <v>8.81</v>
      </c>
      <c r="J13" s="3">
        <f t="shared" si="0"/>
        <v>0.91800328143756005</v>
      </c>
      <c r="K13" s="3">
        <f t="shared" si="3"/>
        <v>0.88589022738650869</v>
      </c>
      <c r="L13" s="3">
        <f t="shared" si="1"/>
        <v>0.94142047820054198</v>
      </c>
      <c r="M13" s="3"/>
      <c r="N13" s="3">
        <f>N12*J13</f>
        <v>0.91800223491410182</v>
      </c>
    </row>
    <row r="14" spans="1:14" x14ac:dyDescent="0.25">
      <c r="A14" s="3" t="s">
        <v>18</v>
      </c>
      <c r="B14" s="3">
        <v>0.99796620000000003</v>
      </c>
      <c r="C14" s="3">
        <v>1.1122E-3</v>
      </c>
      <c r="D14" s="3">
        <v>0.99407029999999996</v>
      </c>
      <c r="E14" s="3">
        <v>0.99930419999999998</v>
      </c>
      <c r="F14" s="3" t="s">
        <v>6</v>
      </c>
      <c r="G14" s="3"/>
      <c r="H14" s="3">
        <v>8.33</v>
      </c>
      <c r="I14" s="3">
        <f t="shared" ref="I14:I21" si="5">I13+H14</f>
        <v>17.14</v>
      </c>
      <c r="J14" s="3">
        <f t="shared" si="0"/>
        <v>0.98318418581696343</v>
      </c>
      <c r="K14" s="3">
        <f t="shared" si="3"/>
        <v>0.95166573028322199</v>
      </c>
      <c r="L14" s="3">
        <f t="shared" si="1"/>
        <v>0.99421874477623129</v>
      </c>
      <c r="M14" s="3"/>
      <c r="N14" s="3">
        <f>N13*J14</f>
        <v>0.90256527991217395</v>
      </c>
    </row>
    <row r="15" spans="1:14" x14ac:dyDescent="0.25">
      <c r="A15" s="3" t="s">
        <v>19</v>
      </c>
      <c r="B15" s="3">
        <v>0.99205620000000005</v>
      </c>
      <c r="C15" s="3">
        <v>1.7175999999999999E-3</v>
      </c>
      <c r="D15" s="3">
        <v>0.98787389999999997</v>
      </c>
      <c r="E15" s="3">
        <v>0.99480349999999995</v>
      </c>
      <c r="F15" s="3" t="s">
        <v>6</v>
      </c>
      <c r="G15" s="3"/>
      <c r="H15" s="3">
        <v>7.7</v>
      </c>
      <c r="I15" s="3">
        <f t="shared" si="5"/>
        <v>24.84</v>
      </c>
      <c r="J15" s="3">
        <f t="shared" si="0"/>
        <v>0.94043616634430294</v>
      </c>
      <c r="K15" s="3">
        <f t="shared" si="3"/>
        <v>0.91033583201389701</v>
      </c>
      <c r="L15" s="3">
        <f t="shared" si="1"/>
        <v>0.96067667264660372</v>
      </c>
      <c r="M15" s="3"/>
      <c r="N15" s="3">
        <f t="shared" ref="N15:N21" si="6">N14*J15</f>
        <v>0.84880503171607757</v>
      </c>
    </row>
    <row r="16" spans="1:14" x14ac:dyDescent="0.25">
      <c r="A16" s="3" t="s">
        <v>20</v>
      </c>
      <c r="B16" s="3">
        <v>0.99647609999999998</v>
      </c>
      <c r="C16" s="3">
        <v>1.3089E-3</v>
      </c>
      <c r="D16" s="3">
        <v>0.99271089999999995</v>
      </c>
      <c r="E16" s="3">
        <v>0.99829970000000001</v>
      </c>
      <c r="F16" s="3" t="s">
        <v>6</v>
      </c>
      <c r="G16" s="3"/>
      <c r="H16" s="3">
        <v>5.79</v>
      </c>
      <c r="I16" s="3">
        <f t="shared" si="5"/>
        <v>30.63</v>
      </c>
      <c r="J16" s="3">
        <f t="shared" si="0"/>
        <v>0.97976805351587504</v>
      </c>
      <c r="K16" s="3">
        <f t="shared" si="3"/>
        <v>0.95852613075124216</v>
      </c>
      <c r="L16" s="3">
        <f t="shared" si="1"/>
        <v>0.99019526690722659</v>
      </c>
      <c r="M16" s="3"/>
      <c r="N16" s="3">
        <f t="shared" si="6"/>
        <v>0.83163205373894189</v>
      </c>
    </row>
    <row r="17" spans="1:14" x14ac:dyDescent="0.25">
      <c r="A17" s="3" t="s">
        <v>21</v>
      </c>
      <c r="B17" s="3">
        <v>0.99823539999999999</v>
      </c>
      <c r="C17" s="3">
        <v>1.4131E-3</v>
      </c>
      <c r="D17" s="3">
        <v>0.99155530000000003</v>
      </c>
      <c r="E17" s="3">
        <v>0.9996332</v>
      </c>
      <c r="F17" s="3" t="s">
        <v>6</v>
      </c>
      <c r="G17" s="3"/>
      <c r="H17" s="3">
        <v>3.87</v>
      </c>
      <c r="I17" s="3">
        <f t="shared" si="5"/>
        <v>34.5</v>
      </c>
      <c r="J17" s="3">
        <f t="shared" si="0"/>
        <v>0.99318827139248889</v>
      </c>
      <c r="K17" s="3">
        <f t="shared" si="3"/>
        <v>0.96771296311371724</v>
      </c>
      <c r="L17" s="3">
        <f t="shared" si="1"/>
        <v>0.99858123100278362</v>
      </c>
      <c r="M17" s="3"/>
      <c r="N17" s="3">
        <f t="shared" si="6"/>
        <v>0.82596720188756512</v>
      </c>
    </row>
    <row r="18" spans="1:14" x14ac:dyDescent="0.25">
      <c r="A18" s="3" t="s">
        <v>22</v>
      </c>
      <c r="B18" s="3">
        <v>0.97892990000000002</v>
      </c>
      <c r="C18" s="3">
        <v>3.1863999999999998E-3</v>
      </c>
      <c r="D18" s="3">
        <v>0.97169000000000005</v>
      </c>
      <c r="E18" s="3">
        <v>0.98434820000000001</v>
      </c>
      <c r="F18" s="3" t="s">
        <v>6</v>
      </c>
      <c r="G18" s="3"/>
      <c r="H18" s="3">
        <v>6.43</v>
      </c>
      <c r="I18" s="3">
        <f t="shared" si="5"/>
        <v>40.93</v>
      </c>
      <c r="J18" s="3">
        <f t="shared" si="0"/>
        <v>0.87203265226789617</v>
      </c>
      <c r="K18" s="3">
        <f t="shared" si="3"/>
        <v>0.83138718301756476</v>
      </c>
      <c r="L18" s="3">
        <f t="shared" si="1"/>
        <v>0.90353810316935035</v>
      </c>
      <c r="M18" s="3"/>
      <c r="N18" s="3">
        <f t="shared" si="6"/>
        <v>0.72027036974830627</v>
      </c>
    </row>
    <row r="19" spans="1:14" x14ac:dyDescent="0.25">
      <c r="A19" s="3" t="s">
        <v>23</v>
      </c>
      <c r="B19" s="3">
        <v>0.99603790000000003</v>
      </c>
      <c r="C19" s="3">
        <v>2.9298000000000002E-3</v>
      </c>
      <c r="D19" s="3">
        <v>0.98324129999999998</v>
      </c>
      <c r="E19" s="3">
        <v>0.99907250000000003</v>
      </c>
      <c r="F19" s="3" t="s">
        <v>6</v>
      </c>
      <c r="G19" s="3"/>
      <c r="H19" s="3">
        <v>3.7</v>
      </c>
      <c r="I19" s="3">
        <f t="shared" si="5"/>
        <v>44.63</v>
      </c>
      <c r="J19" s="3">
        <f t="shared" si="0"/>
        <v>0.98541846676157596</v>
      </c>
      <c r="K19" s="3">
        <f t="shared" si="3"/>
        <v>0.93938239251823707</v>
      </c>
      <c r="L19" s="3">
        <f t="shared" si="1"/>
        <v>0.99657254472191437</v>
      </c>
      <c r="M19" s="3"/>
      <c r="N19" s="3">
        <f t="shared" si="6"/>
        <v>0.70976772341116934</v>
      </c>
    </row>
    <row r="20" spans="1:14" x14ac:dyDescent="0.25">
      <c r="A20" s="3" t="s">
        <v>24</v>
      </c>
      <c r="B20" s="3">
        <v>0.983012</v>
      </c>
      <c r="C20" s="3">
        <v>2.1676999999999998E-3</v>
      </c>
      <c r="D20" s="3">
        <v>0.97819750000000005</v>
      </c>
      <c r="E20" s="3">
        <v>0.98677769999999998</v>
      </c>
      <c r="F20" s="3" t="s">
        <v>6</v>
      </c>
      <c r="G20" s="3"/>
      <c r="H20" s="3">
        <v>16</v>
      </c>
      <c r="I20" s="3">
        <f t="shared" si="5"/>
        <v>60.63</v>
      </c>
      <c r="J20" s="3">
        <f t="shared" si="0"/>
        <v>0.76022318669906008</v>
      </c>
      <c r="K20" s="3">
        <f t="shared" si="3"/>
        <v>0.70278871112222585</v>
      </c>
      <c r="L20" s="3">
        <f t="shared" si="1"/>
        <v>0.80818209069723856</v>
      </c>
      <c r="M20" s="3"/>
      <c r="N20" s="3">
        <f t="shared" si="6"/>
        <v>0.53958188050777622</v>
      </c>
    </row>
    <row r="21" spans="1:14" x14ac:dyDescent="0.25">
      <c r="A21" s="3" t="s">
        <v>25</v>
      </c>
      <c r="B21" s="3">
        <v>0.9778907</v>
      </c>
      <c r="C21" s="3">
        <v>2.4358000000000001E-3</v>
      </c>
      <c r="D21" s="3">
        <v>0.97257729999999998</v>
      </c>
      <c r="E21" s="3">
        <v>0.98219350000000005</v>
      </c>
      <c r="F21" s="3" t="s">
        <v>6</v>
      </c>
      <c r="G21" s="3"/>
      <c r="H21" s="3">
        <v>22.99</v>
      </c>
      <c r="I21" s="3">
        <f t="shared" si="5"/>
        <v>83.62</v>
      </c>
      <c r="J21" s="3">
        <f t="shared" si="0"/>
        <v>0.59810077115391436</v>
      </c>
      <c r="K21" s="3">
        <f t="shared" si="3"/>
        <v>0.5276861837669603</v>
      </c>
      <c r="L21" s="3">
        <f t="shared" si="1"/>
        <v>0.66162256835756594</v>
      </c>
      <c r="M21" s="3"/>
      <c r="N21" s="3">
        <f t="shared" si="6"/>
        <v>0.32272433883238022</v>
      </c>
    </row>
    <row r="22" spans="1:14" x14ac:dyDescent="0.25">
      <c r="A22" t="s">
        <v>26</v>
      </c>
      <c r="B22">
        <v>0.99999959999999999</v>
      </c>
      <c r="C22">
        <v>0</v>
      </c>
      <c r="D22">
        <v>0.99999959999999999</v>
      </c>
      <c r="E22">
        <v>0.99999959999999999</v>
      </c>
      <c r="F22" t="s">
        <v>6</v>
      </c>
      <c r="H22">
        <v>1.9</v>
      </c>
      <c r="I22">
        <f>H22</f>
        <v>1.9</v>
      </c>
      <c r="J22">
        <f t="shared" si="0"/>
        <v>0.99999924000013674</v>
      </c>
      <c r="K22">
        <f t="shared" si="3"/>
        <v>0.99999924000013674</v>
      </c>
      <c r="L22">
        <f t="shared" si="1"/>
        <v>0.99999924000013674</v>
      </c>
      <c r="N22">
        <f>J22</f>
        <v>0.99999924000013674</v>
      </c>
    </row>
    <row r="23" spans="1:14" x14ac:dyDescent="0.25">
      <c r="A23" t="s">
        <v>27</v>
      </c>
      <c r="B23">
        <v>0.99796110000000005</v>
      </c>
      <c r="C23">
        <v>5.1588450000000004E-4</v>
      </c>
      <c r="D23">
        <v>0.99665309999999996</v>
      </c>
      <c r="E23">
        <v>0.99875849999999999</v>
      </c>
      <c r="F23" t="s">
        <v>6</v>
      </c>
      <c r="H23">
        <v>6.91</v>
      </c>
      <c r="I23">
        <f>I22+H23</f>
        <v>8.81</v>
      </c>
      <c r="J23">
        <f t="shared" si="0"/>
        <v>0.98599580260747433</v>
      </c>
      <c r="K23">
        <f t="shared" si="3"/>
        <v>0.97710040105041984</v>
      </c>
      <c r="L23">
        <f t="shared" si="1"/>
        <v>0.99145264346431794</v>
      </c>
      <c r="N23">
        <f>N22*J23</f>
        <v>0.98599505325079917</v>
      </c>
    </row>
    <row r="24" spans="1:14" x14ac:dyDescent="0.25">
      <c r="A24" t="s">
        <v>28</v>
      </c>
      <c r="B24">
        <v>0.99829109999999999</v>
      </c>
      <c r="C24">
        <v>3.9343089999999999E-4</v>
      </c>
      <c r="D24">
        <v>0.99731709999999996</v>
      </c>
      <c r="E24">
        <v>0.99891189999999996</v>
      </c>
      <c r="F24" t="s">
        <v>6</v>
      </c>
      <c r="H24">
        <v>8.33</v>
      </c>
      <c r="I24">
        <f t="shared" ref="I24:I31" si="7">I23+H24</f>
        <v>17.14</v>
      </c>
      <c r="J24">
        <f t="shared" si="0"/>
        <v>0.98585369860275884</v>
      </c>
      <c r="K24">
        <f t="shared" si="3"/>
        <v>0.97786995298080581</v>
      </c>
      <c r="L24">
        <f t="shared" si="1"/>
        <v>0.99097218983040258</v>
      </c>
      <c r="N24">
        <f>N23*J24</f>
        <v>0.97204687005132451</v>
      </c>
    </row>
    <row r="25" spans="1:14" x14ac:dyDescent="0.25">
      <c r="A25" t="s">
        <v>29</v>
      </c>
      <c r="B25">
        <v>0.99882280000000001</v>
      </c>
      <c r="C25">
        <v>3.5356E-4</v>
      </c>
      <c r="D25">
        <v>0.99787970000000004</v>
      </c>
      <c r="E25">
        <v>0.99934670000000003</v>
      </c>
      <c r="F25" t="s">
        <v>6</v>
      </c>
      <c r="H25">
        <v>7.7</v>
      </c>
      <c r="I25">
        <f t="shared" si="7"/>
        <v>24.84</v>
      </c>
      <c r="J25">
        <f t="shared" si="0"/>
        <v>0.99097122686342531</v>
      </c>
      <c r="K25">
        <f t="shared" si="3"/>
        <v>0.983789189847048</v>
      </c>
      <c r="L25">
        <f t="shared" si="1"/>
        <v>0.99498058567389303</v>
      </c>
      <c r="N25">
        <f t="shared" ref="N25:N31" si="8">N24*J25</f>
        <v>0.96327047938351362</v>
      </c>
    </row>
    <row r="26" spans="1:14" x14ac:dyDescent="0.25">
      <c r="A26" t="s">
        <v>30</v>
      </c>
      <c r="B26">
        <v>0.99998129999999996</v>
      </c>
      <c r="C26" s="1">
        <v>7.3954699999999999E-5</v>
      </c>
      <c r="D26">
        <v>0.9589067</v>
      </c>
      <c r="E26">
        <v>1</v>
      </c>
      <c r="F26" t="s">
        <v>6</v>
      </c>
      <c r="H26">
        <v>5.79</v>
      </c>
      <c r="I26">
        <f t="shared" si="7"/>
        <v>30.63</v>
      </c>
      <c r="J26">
        <f t="shared" si="0"/>
        <v>0.99989173184905389</v>
      </c>
      <c r="K26">
        <f t="shared" si="3"/>
        <v>0.78430518206793942</v>
      </c>
      <c r="L26">
        <f t="shared" si="1"/>
        <v>1</v>
      </c>
      <c r="N26">
        <f t="shared" si="8"/>
        <v>0.96316618786984975</v>
      </c>
    </row>
    <row r="27" spans="1:14" x14ac:dyDescent="0.25">
      <c r="A27" t="s">
        <v>31</v>
      </c>
      <c r="B27">
        <v>0.9997431</v>
      </c>
      <c r="C27">
        <v>2.235184E-4</v>
      </c>
      <c r="D27">
        <v>0.99858720000000001</v>
      </c>
      <c r="E27">
        <v>0.99995330000000004</v>
      </c>
      <c r="F27" t="s">
        <v>6</v>
      </c>
      <c r="H27">
        <v>3.87</v>
      </c>
      <c r="I27">
        <f t="shared" si="7"/>
        <v>34.5</v>
      </c>
      <c r="J27">
        <f t="shared" si="0"/>
        <v>0.999006163455739</v>
      </c>
      <c r="K27">
        <f t="shared" si="3"/>
        <v>0.99454353894882908</v>
      </c>
      <c r="L27">
        <f t="shared" si="1"/>
        <v>0.99981928311111123</v>
      </c>
      <c r="N27">
        <f t="shared" si="8"/>
        <v>0.96220895811414819</v>
      </c>
    </row>
    <row r="28" spans="1:14" x14ac:dyDescent="0.25">
      <c r="A28" t="s">
        <v>32</v>
      </c>
      <c r="B28">
        <v>0.99464249999999998</v>
      </c>
      <c r="C28">
        <v>8.6042840000000002E-4</v>
      </c>
      <c r="D28">
        <v>0.99266259999999995</v>
      </c>
      <c r="E28">
        <v>0.99609020000000004</v>
      </c>
      <c r="F28" t="s">
        <v>6</v>
      </c>
      <c r="H28">
        <v>6.43</v>
      </c>
      <c r="I28">
        <f t="shared" si="7"/>
        <v>40.93</v>
      </c>
      <c r="J28">
        <f t="shared" si="0"/>
        <v>0.96604840682151949</v>
      </c>
      <c r="K28">
        <f t="shared" si="3"/>
        <v>0.95375026290779585</v>
      </c>
      <c r="L28">
        <f t="shared" si="1"/>
        <v>0.9751253143630243</v>
      </c>
      <c r="N28">
        <f t="shared" si="8"/>
        <v>0.92954043101556705</v>
      </c>
    </row>
    <row r="29" spans="1:14" x14ac:dyDescent="0.25">
      <c r="A29" t="s">
        <v>33</v>
      </c>
      <c r="B29">
        <v>0.98950309999999997</v>
      </c>
      <c r="C29">
        <v>1.8021000000000001E-3</v>
      </c>
      <c r="D29">
        <v>0.98531400000000002</v>
      </c>
      <c r="E29">
        <v>0.99250629999999995</v>
      </c>
      <c r="F29" t="s">
        <v>6</v>
      </c>
      <c r="H29">
        <v>3.7</v>
      </c>
      <c r="I29">
        <f t="shared" si="7"/>
        <v>44.63</v>
      </c>
      <c r="J29">
        <f t="shared" si="0"/>
        <v>0.96170857588481229</v>
      </c>
      <c r="K29">
        <f t="shared" si="3"/>
        <v>0.94673017216531596</v>
      </c>
      <c r="L29">
        <f t="shared" si="1"/>
        <v>0.97255261737293508</v>
      </c>
      <c r="N29">
        <f t="shared" si="8"/>
        <v>0.89394700413933559</v>
      </c>
    </row>
    <row r="30" spans="1:14" x14ac:dyDescent="0.25">
      <c r="A30" t="s">
        <v>34</v>
      </c>
      <c r="B30">
        <v>0.99175690000000005</v>
      </c>
      <c r="C30">
        <v>8.7303540000000001E-4</v>
      </c>
      <c r="D30">
        <v>0.98985719999999999</v>
      </c>
      <c r="E30">
        <v>0.9933033</v>
      </c>
      <c r="F30" t="s">
        <v>6</v>
      </c>
      <c r="H30">
        <v>16</v>
      </c>
      <c r="I30">
        <f t="shared" si="7"/>
        <v>60.63</v>
      </c>
      <c r="J30">
        <f t="shared" si="0"/>
        <v>0.87595882251341961</v>
      </c>
      <c r="K30">
        <f t="shared" si="3"/>
        <v>0.84949483417496696</v>
      </c>
      <c r="L30">
        <f t="shared" si="1"/>
        <v>0.89806971854525108</v>
      </c>
      <c r="N30">
        <f t="shared" si="8"/>
        <v>0.78306076513529144</v>
      </c>
    </row>
    <row r="31" spans="1:14" x14ac:dyDescent="0.25">
      <c r="A31" t="s">
        <v>35</v>
      </c>
      <c r="B31">
        <v>0.99097619999999997</v>
      </c>
      <c r="C31">
        <v>8.805226E-4</v>
      </c>
      <c r="D31">
        <v>0.98907630000000002</v>
      </c>
      <c r="E31">
        <v>0.99254819999999999</v>
      </c>
      <c r="F31" t="s">
        <v>6</v>
      </c>
      <c r="H31">
        <v>22.99</v>
      </c>
      <c r="I31">
        <f t="shared" si="7"/>
        <v>83.62</v>
      </c>
      <c r="J31">
        <f t="shared" si="0"/>
        <v>0.81188314655180294</v>
      </c>
      <c r="K31">
        <f t="shared" si="3"/>
        <v>0.77684253944462633</v>
      </c>
      <c r="L31">
        <f t="shared" si="1"/>
        <v>0.8420142167036222</v>
      </c>
      <c r="N31">
        <f t="shared" si="8"/>
        <v>0.63575383793930274</v>
      </c>
    </row>
    <row r="32" spans="1:14" x14ac:dyDescent="0.25">
      <c r="A32" t="s">
        <v>36</v>
      </c>
      <c r="B32">
        <v>0.99999970000000005</v>
      </c>
      <c r="C32" s="1">
        <v>1.737817E-5</v>
      </c>
      <c r="D32" s="1">
        <v>1.200103E-41</v>
      </c>
      <c r="E32">
        <v>1</v>
      </c>
      <c r="F32" t="s">
        <v>6</v>
      </c>
      <c r="H32">
        <v>1.9</v>
      </c>
      <c r="I32">
        <f>H32</f>
        <v>1.9</v>
      </c>
      <c r="J32">
        <f t="shared" si="0"/>
        <v>0.99999943000007707</v>
      </c>
      <c r="K32">
        <f t="shared" si="3"/>
        <v>1.7803901818031838E-78</v>
      </c>
      <c r="L32">
        <f t="shared" si="1"/>
        <v>1</v>
      </c>
      <c r="N32">
        <f>J32</f>
        <v>0.99999943000007707</v>
      </c>
    </row>
    <row r="33" spans="1:14" x14ac:dyDescent="0.25">
      <c r="A33" t="s">
        <v>37</v>
      </c>
      <c r="B33">
        <v>0.99395370000000005</v>
      </c>
      <c r="C33">
        <v>1.1620000000000001E-3</v>
      </c>
      <c r="D33">
        <v>0.99119230000000003</v>
      </c>
      <c r="E33">
        <v>0.99585299999999999</v>
      </c>
      <c r="F33" t="s">
        <v>6</v>
      </c>
      <c r="H33">
        <v>6.91</v>
      </c>
      <c r="I33">
        <f>I32+H33</f>
        <v>8.81</v>
      </c>
      <c r="J33">
        <f t="shared" si="0"/>
        <v>0.95895919795704732</v>
      </c>
      <c r="K33">
        <f t="shared" si="3"/>
        <v>0.94070017414881268</v>
      </c>
      <c r="L33">
        <f t="shared" si="1"/>
        <v>0.97169301507119044</v>
      </c>
      <c r="N33">
        <f>N32*J33</f>
        <v>0.95895865135037839</v>
      </c>
    </row>
    <row r="34" spans="1:14" x14ac:dyDescent="0.25">
      <c r="A34" t="s">
        <v>38</v>
      </c>
      <c r="B34">
        <v>0.9990059</v>
      </c>
      <c r="C34">
        <v>5.4728749999999999E-4</v>
      </c>
      <c r="D34">
        <v>0.99707800000000002</v>
      </c>
      <c r="E34">
        <v>0.99966219999999995</v>
      </c>
      <c r="F34" t="s">
        <v>6</v>
      </c>
      <c r="H34">
        <v>8.33</v>
      </c>
      <c r="I34">
        <f t="shared" ref="I34:I41" si="9">I33+H34</f>
        <v>17.14</v>
      </c>
      <c r="J34">
        <f t="shared" si="0"/>
        <v>0.99174925406530601</v>
      </c>
      <c r="K34">
        <f t="shared" si="3"/>
        <v>0.97591880215317572</v>
      </c>
      <c r="L34">
        <f t="shared" si="1"/>
        <v>0.99718960719822136</v>
      </c>
      <c r="N34">
        <f>N33*J34</f>
        <v>0.95104652715620963</v>
      </c>
    </row>
    <row r="35" spans="1:14" x14ac:dyDescent="0.25">
      <c r="A35" t="s">
        <v>39</v>
      </c>
      <c r="B35">
        <v>0.99610540000000003</v>
      </c>
      <c r="C35">
        <v>8.9636100000000003E-4</v>
      </c>
      <c r="D35">
        <v>0.99388810000000005</v>
      </c>
      <c r="E35">
        <v>0.99752030000000003</v>
      </c>
      <c r="F35" t="s">
        <v>6</v>
      </c>
      <c r="H35">
        <v>7.7</v>
      </c>
      <c r="I35">
        <f t="shared" si="9"/>
        <v>24.84</v>
      </c>
      <c r="J35">
        <f t="shared" si="0"/>
        <v>0.97039995423324621</v>
      </c>
      <c r="K35">
        <f t="shared" si="3"/>
        <v>0.95389084083221476</v>
      </c>
      <c r="L35">
        <f t="shared" si="1"/>
        <v>0.98106417607519092</v>
      </c>
      <c r="N35">
        <f t="shared" ref="N35:N41" si="10">N34*J35</f>
        <v>0.92289550642607354</v>
      </c>
    </row>
    <row r="36" spans="1:14" x14ac:dyDescent="0.25">
      <c r="A36" t="s">
        <v>40</v>
      </c>
      <c r="B36">
        <v>0.99827619999999995</v>
      </c>
      <c r="C36">
        <v>6.5540249999999998E-4</v>
      </c>
      <c r="D36">
        <v>0.99637050000000005</v>
      </c>
      <c r="E36">
        <v>0.99918220000000002</v>
      </c>
      <c r="F36" t="s">
        <v>6</v>
      </c>
      <c r="H36">
        <v>5.79</v>
      </c>
      <c r="I36">
        <f t="shared" si="9"/>
        <v>30.63</v>
      </c>
      <c r="J36">
        <f t="shared" si="0"/>
        <v>0.99006031412369899</v>
      </c>
      <c r="K36">
        <f t="shared" si="3"/>
        <v>0.9791670339038141</v>
      </c>
      <c r="L36">
        <f t="shared" si="1"/>
        <v>0.99527420266296684</v>
      </c>
      <c r="N36">
        <f t="shared" si="10"/>
        <v>0.91372221499554862</v>
      </c>
    </row>
    <row r="37" spans="1:14" x14ac:dyDescent="0.25">
      <c r="A37" t="s">
        <v>41</v>
      </c>
      <c r="B37">
        <v>0.99913759999999996</v>
      </c>
      <c r="C37">
        <v>6.9469119999999995E-4</v>
      </c>
      <c r="D37">
        <v>0.99582610000000005</v>
      </c>
      <c r="E37">
        <v>0.99982230000000005</v>
      </c>
      <c r="F37" t="s">
        <v>6</v>
      </c>
      <c r="H37">
        <v>3.87</v>
      </c>
      <c r="I37">
        <f t="shared" si="9"/>
        <v>34.5</v>
      </c>
      <c r="J37">
        <f t="shared" si="0"/>
        <v>0.99666664006837702</v>
      </c>
      <c r="K37">
        <f t="shared" si="3"/>
        <v>0.98394350461608582</v>
      </c>
      <c r="L37">
        <f t="shared" si="1"/>
        <v>0.99931247634347775</v>
      </c>
      <c r="N37">
        <f t="shared" si="10"/>
        <v>0.91067644997544861</v>
      </c>
    </row>
    <row r="38" spans="1:14" x14ac:dyDescent="0.25">
      <c r="A38" t="s">
        <v>42</v>
      </c>
      <c r="B38">
        <v>0.98959980000000003</v>
      </c>
      <c r="C38">
        <v>1.7818000000000001E-3</v>
      </c>
      <c r="D38">
        <v>0.98545930000000004</v>
      </c>
      <c r="E38">
        <v>0.99257019999999996</v>
      </c>
      <c r="F38" t="s">
        <v>6</v>
      </c>
      <c r="H38">
        <v>6.43</v>
      </c>
      <c r="I38">
        <f t="shared" si="9"/>
        <v>40.93</v>
      </c>
      <c r="J38">
        <f t="shared" si="0"/>
        <v>0.93498624237709094</v>
      </c>
      <c r="K38">
        <f t="shared" si="3"/>
        <v>0.91011608939502542</v>
      </c>
      <c r="L38">
        <f t="shared" si="1"/>
        <v>0.95317956510370505</v>
      </c>
      <c r="N38">
        <f t="shared" si="10"/>
        <v>0.85146995198385356</v>
      </c>
    </row>
    <row r="39" spans="1:14" x14ac:dyDescent="0.25">
      <c r="A39" t="s">
        <v>43</v>
      </c>
      <c r="B39">
        <v>0.99806150000000005</v>
      </c>
      <c r="C39">
        <v>1.4415999999999999E-3</v>
      </c>
      <c r="D39">
        <v>0.99170259999999999</v>
      </c>
      <c r="E39">
        <v>0.99954929999999997</v>
      </c>
      <c r="F39" t="s">
        <v>6</v>
      </c>
      <c r="H39">
        <v>3.7</v>
      </c>
      <c r="I39">
        <f t="shared" si="9"/>
        <v>44.63</v>
      </c>
      <c r="J39">
        <f t="shared" si="0"/>
        <v>0.99284629951066783</v>
      </c>
      <c r="K39">
        <f t="shared" si="3"/>
        <v>0.96964189542594814</v>
      </c>
      <c r="L39">
        <f t="shared" si="1"/>
        <v>0.99833342437768302</v>
      </c>
      <c r="N39">
        <f t="shared" si="10"/>
        <v>0.84537879097169499</v>
      </c>
    </row>
    <row r="40" spans="1:14" x14ac:dyDescent="0.25">
      <c r="A40" t="s">
        <v>44</v>
      </c>
      <c r="B40">
        <v>0.99163239999999997</v>
      </c>
      <c r="C40">
        <v>1.2482000000000001E-3</v>
      </c>
      <c r="D40">
        <v>0.98879510000000004</v>
      </c>
      <c r="E40">
        <v>0.99375579999999997</v>
      </c>
      <c r="F40" t="s">
        <v>6</v>
      </c>
      <c r="H40">
        <v>16</v>
      </c>
      <c r="I40">
        <f t="shared" si="9"/>
        <v>60.63</v>
      </c>
      <c r="J40">
        <f t="shared" si="0"/>
        <v>0.87420106505833717</v>
      </c>
      <c r="K40">
        <f t="shared" si="3"/>
        <v>0.83502771365028383</v>
      </c>
      <c r="L40">
        <f t="shared" si="1"/>
        <v>0.90463799137093703</v>
      </c>
      <c r="N40">
        <f t="shared" si="10"/>
        <v>0.73903103944518511</v>
      </c>
    </row>
    <row r="41" spans="1:14" x14ac:dyDescent="0.25">
      <c r="A41" t="s">
        <v>45</v>
      </c>
      <c r="B41">
        <v>0.98908099999999999</v>
      </c>
      <c r="C41">
        <v>1.4525E-3</v>
      </c>
      <c r="D41">
        <v>0.98583430000000005</v>
      </c>
      <c r="E41">
        <v>0.99158999999999997</v>
      </c>
      <c r="F41" t="s">
        <v>6</v>
      </c>
      <c r="H41">
        <v>22.99</v>
      </c>
      <c r="I41">
        <f t="shared" si="9"/>
        <v>83.62</v>
      </c>
      <c r="J41">
        <f t="shared" si="0"/>
        <v>0.77692741110993802</v>
      </c>
      <c r="K41">
        <f t="shared" si="3"/>
        <v>0.72036436778377344</v>
      </c>
      <c r="L41">
        <f t="shared" si="1"/>
        <v>0.82352324162184731</v>
      </c>
      <c r="N41">
        <f t="shared" si="10"/>
        <v>0.5741734722060341</v>
      </c>
    </row>
    <row r="42" spans="1:14" x14ac:dyDescent="0.25">
      <c r="A42" t="s">
        <v>46</v>
      </c>
      <c r="B42">
        <v>0.99999970000000005</v>
      </c>
      <c r="C42">
        <v>0</v>
      </c>
      <c r="D42">
        <v>0.99999970000000005</v>
      </c>
      <c r="E42">
        <v>0.99999970000000005</v>
      </c>
      <c r="F42" t="s">
        <v>6</v>
      </c>
      <c r="H42">
        <v>1.9</v>
      </c>
      <c r="I42">
        <f>H42</f>
        <v>1.9</v>
      </c>
      <c r="J42">
        <f t="shared" si="0"/>
        <v>0.99999943000007707</v>
      </c>
      <c r="K42">
        <f t="shared" si="3"/>
        <v>0.99999943000007707</v>
      </c>
      <c r="L42">
        <f t="shared" si="1"/>
        <v>0.99999943000007707</v>
      </c>
      <c r="N42">
        <f>J42</f>
        <v>0.99999943000007707</v>
      </c>
    </row>
    <row r="43" spans="1:14" x14ac:dyDescent="0.25">
      <c r="A43" t="s">
        <v>47</v>
      </c>
      <c r="B43">
        <v>0.99833689999999997</v>
      </c>
      <c r="C43">
        <v>4.1708629999999999E-4</v>
      </c>
      <c r="D43">
        <v>0.9972818</v>
      </c>
      <c r="E43">
        <v>0.99898290000000001</v>
      </c>
      <c r="F43" t="s">
        <v>6</v>
      </c>
      <c r="H43">
        <v>6.91</v>
      </c>
      <c r="I43">
        <f>I42+H43</f>
        <v>8.81</v>
      </c>
      <c r="J43">
        <f t="shared" si="0"/>
        <v>0.98856430260568817</v>
      </c>
      <c r="K43">
        <f t="shared" si="3"/>
        <v>0.98136743702135143</v>
      </c>
      <c r="L43">
        <f t="shared" si="1"/>
        <v>0.99299292722411769</v>
      </c>
      <c r="N43">
        <f>N42*J43</f>
        <v>0.98856373912411188</v>
      </c>
    </row>
    <row r="44" spans="1:14" x14ac:dyDescent="0.25">
      <c r="A44" t="s">
        <v>48</v>
      </c>
      <c r="B44">
        <v>0.9986062</v>
      </c>
      <c r="C44">
        <v>3.1564100000000002E-4</v>
      </c>
      <c r="D44">
        <v>0.99782780000000004</v>
      </c>
      <c r="E44">
        <v>0.99910589999999999</v>
      </c>
      <c r="F44" t="s">
        <v>6</v>
      </c>
      <c r="H44">
        <v>8.33</v>
      </c>
      <c r="I44">
        <f t="shared" ref="I44:I51" si="11">I43+H44</f>
        <v>17.14</v>
      </c>
      <c r="J44">
        <f t="shared" si="0"/>
        <v>0.98844878080522958</v>
      </c>
      <c r="K44">
        <f t="shared" si="3"/>
        <v>0.98204896743896974</v>
      </c>
      <c r="L44">
        <f t="shared" si="1"/>
        <v>0.99257650670669595</v>
      </c>
      <c r="N44">
        <f>N43*J44</f>
        <v>0.97714462268548741</v>
      </c>
    </row>
    <row r="45" spans="1:14" x14ac:dyDescent="0.25">
      <c r="A45" t="s">
        <v>49</v>
      </c>
      <c r="B45">
        <v>0.99904000000000004</v>
      </c>
      <c r="C45">
        <v>2.8598890000000002E-4</v>
      </c>
      <c r="D45">
        <v>0.99827900000000003</v>
      </c>
      <c r="E45">
        <v>0.99946460000000004</v>
      </c>
      <c r="F45" t="s">
        <v>6</v>
      </c>
      <c r="H45">
        <v>7.7</v>
      </c>
      <c r="I45">
        <f t="shared" si="11"/>
        <v>24.84</v>
      </c>
      <c r="J45">
        <f t="shared" si="0"/>
        <v>0.99263172935952348</v>
      </c>
      <c r="K45">
        <f t="shared" si="3"/>
        <v>0.98682445137052577</v>
      </c>
      <c r="L45">
        <f t="shared" si="1"/>
        <v>0.99588480670115009</v>
      </c>
      <c r="N45">
        <f t="shared" ref="N45:N51" si="12">N44*J45</f>
        <v>0.96994475665065438</v>
      </c>
    </row>
    <row r="46" spans="1:14" x14ac:dyDescent="0.25">
      <c r="A46" t="s">
        <v>50</v>
      </c>
      <c r="B46">
        <v>0.99998469999999995</v>
      </c>
      <c r="C46" s="1">
        <v>6.0295950000000003E-5</v>
      </c>
      <c r="D46">
        <v>0.96625559999999999</v>
      </c>
      <c r="E46">
        <v>1</v>
      </c>
      <c r="F46" t="s">
        <v>6</v>
      </c>
      <c r="H46">
        <v>5.79</v>
      </c>
      <c r="I46">
        <f t="shared" si="11"/>
        <v>30.63</v>
      </c>
      <c r="J46">
        <f t="shared" si="0"/>
        <v>0.99991141624607471</v>
      </c>
      <c r="K46">
        <f t="shared" si="3"/>
        <v>0.81975262961220507</v>
      </c>
      <c r="L46">
        <f t="shared" si="1"/>
        <v>1</v>
      </c>
      <c r="N46">
        <f t="shared" si="12"/>
        <v>0.96985883530301009</v>
      </c>
    </row>
    <row r="47" spans="1:14" x14ac:dyDescent="0.25">
      <c r="A47" t="s">
        <v>51</v>
      </c>
      <c r="B47">
        <v>0.99979050000000003</v>
      </c>
      <c r="C47">
        <v>1.8245539999999999E-4</v>
      </c>
      <c r="D47">
        <v>0.99884569999999995</v>
      </c>
      <c r="E47">
        <v>0.99996200000000002</v>
      </c>
      <c r="F47" t="s">
        <v>6</v>
      </c>
      <c r="H47">
        <v>3.87</v>
      </c>
      <c r="I47">
        <f t="shared" si="11"/>
        <v>34.5</v>
      </c>
      <c r="J47">
        <f t="shared" si="0"/>
        <v>0.99918947871048047</v>
      </c>
      <c r="K47">
        <f t="shared" si="3"/>
        <v>0.99554025314124983</v>
      </c>
      <c r="L47">
        <f t="shared" si="1"/>
        <v>0.99985294801899194</v>
      </c>
      <c r="N47">
        <f t="shared" si="12"/>
        <v>0.96907274406916843</v>
      </c>
    </row>
    <row r="48" spans="1:14" x14ac:dyDescent="0.25">
      <c r="A48" t="s">
        <v>52</v>
      </c>
      <c r="B48">
        <v>0.99562729999999999</v>
      </c>
      <c r="C48">
        <v>6.8037510000000002E-4</v>
      </c>
      <c r="D48">
        <v>0.99406950000000005</v>
      </c>
      <c r="E48">
        <v>0.99677729999999998</v>
      </c>
      <c r="F48" t="s">
        <v>6</v>
      </c>
      <c r="H48">
        <v>6.43</v>
      </c>
      <c r="I48">
        <f t="shared" si="11"/>
        <v>40.93</v>
      </c>
      <c r="J48">
        <f t="shared" si="0"/>
        <v>0.97221518700668197</v>
      </c>
      <c r="K48">
        <f t="shared" si="3"/>
        <v>0.96247552831089178</v>
      </c>
      <c r="L48">
        <f t="shared" si="1"/>
        <v>0.97945848805725333</v>
      </c>
      <c r="N48">
        <f t="shared" si="12"/>
        <v>0.94214723909828502</v>
      </c>
    </row>
    <row r="49" spans="1:14" x14ac:dyDescent="0.25">
      <c r="A49" t="s">
        <v>53</v>
      </c>
      <c r="B49">
        <v>0.99142459999999999</v>
      </c>
      <c r="C49">
        <v>1.4400000000000001E-3</v>
      </c>
      <c r="D49">
        <v>0.98808859999999998</v>
      </c>
      <c r="E49">
        <v>0.9938321</v>
      </c>
      <c r="F49" t="s">
        <v>6</v>
      </c>
      <c r="H49">
        <v>3.7</v>
      </c>
      <c r="I49">
        <f t="shared" si="11"/>
        <v>44.63</v>
      </c>
      <c r="J49">
        <f t="shared" si="0"/>
        <v>0.96863655746733424</v>
      </c>
      <c r="K49">
        <f t="shared" si="3"/>
        <v>0.95663174425703712</v>
      </c>
      <c r="L49">
        <f t="shared" si="1"/>
        <v>0.97736813129055722</v>
      </c>
      <c r="N49">
        <f t="shared" si="12"/>
        <v>0.91259825830751629</v>
      </c>
    </row>
    <row r="50" spans="1:14" x14ac:dyDescent="0.25">
      <c r="A50" t="s">
        <v>54</v>
      </c>
      <c r="B50">
        <v>0.9932687</v>
      </c>
      <c r="C50">
        <v>6.6614949999999995E-4</v>
      </c>
      <c r="D50">
        <v>0.99182890000000001</v>
      </c>
      <c r="E50">
        <v>0.99445620000000001</v>
      </c>
      <c r="F50" t="s">
        <v>6</v>
      </c>
      <c r="H50">
        <v>16</v>
      </c>
      <c r="I50">
        <f t="shared" si="11"/>
        <v>60.63</v>
      </c>
      <c r="J50">
        <f t="shared" si="0"/>
        <v>0.89756932603521478</v>
      </c>
      <c r="K50">
        <f t="shared" si="3"/>
        <v>0.87697686856414714</v>
      </c>
      <c r="L50">
        <f t="shared" si="1"/>
        <v>0.91489352898298193</v>
      </c>
      <c r="N50">
        <f t="shared" si="12"/>
        <v>0.81912020364998828</v>
      </c>
    </row>
    <row r="51" spans="1:14" x14ac:dyDescent="0.25">
      <c r="A51" t="s">
        <v>55</v>
      </c>
      <c r="B51">
        <v>0.99263009999999996</v>
      </c>
      <c r="C51">
        <v>6.6233589999999999E-4</v>
      </c>
      <c r="D51">
        <v>0.99121159999999997</v>
      </c>
      <c r="E51">
        <v>0.99382099999999995</v>
      </c>
      <c r="F51" t="s">
        <v>6</v>
      </c>
      <c r="H51">
        <v>22.99</v>
      </c>
      <c r="I51">
        <f t="shared" si="11"/>
        <v>83.62</v>
      </c>
      <c r="J51">
        <f t="shared" si="0"/>
        <v>0.84361298215249281</v>
      </c>
      <c r="K51">
        <f t="shared" si="3"/>
        <v>0.81632854222115592</v>
      </c>
      <c r="L51">
        <f t="shared" si="1"/>
        <v>0.86719110466735738</v>
      </c>
      <c r="N51">
        <f t="shared" si="12"/>
        <v>0.69102043774252386</v>
      </c>
    </row>
    <row r="52" spans="1:14" x14ac:dyDescent="0.25">
      <c r="A52" t="s">
        <v>56</v>
      </c>
      <c r="B52">
        <v>0.99999970000000005</v>
      </c>
      <c r="C52" s="1">
        <v>1.416949E-5</v>
      </c>
      <c r="D52" s="1">
        <v>1.4716390000000001E-41</v>
      </c>
      <c r="E52">
        <v>1</v>
      </c>
      <c r="F52" t="s">
        <v>6</v>
      </c>
      <c r="H52">
        <v>1.9</v>
      </c>
      <c r="I52">
        <f>H52</f>
        <v>1.9</v>
      </c>
      <c r="J52">
        <f t="shared" si="0"/>
        <v>0.99999943000007707</v>
      </c>
      <c r="K52">
        <f t="shared" si="3"/>
        <v>2.6231459088959569E-78</v>
      </c>
      <c r="L52">
        <f t="shared" si="1"/>
        <v>1</v>
      </c>
      <c r="N52">
        <f>J52</f>
        <v>0.99999943000007707</v>
      </c>
    </row>
    <row r="53" spans="1:14" x14ac:dyDescent="0.25">
      <c r="A53" t="s">
        <v>57</v>
      </c>
      <c r="B53">
        <v>0.99506459999999997</v>
      </c>
      <c r="C53">
        <v>8.7426170000000001E-4</v>
      </c>
      <c r="D53">
        <v>0.99301830000000002</v>
      </c>
      <c r="E53">
        <v>0.99651319999999999</v>
      </c>
      <c r="F53" t="s">
        <v>6</v>
      </c>
      <c r="H53">
        <v>6.91</v>
      </c>
      <c r="I53">
        <f>I52+H53</f>
        <v>8.81</v>
      </c>
      <c r="J53">
        <f t="shared" si="0"/>
        <v>0.96638975851789011</v>
      </c>
      <c r="K53">
        <f t="shared" si="3"/>
        <v>0.95274046611780006</v>
      </c>
      <c r="L53">
        <f t="shared" si="1"/>
        <v>0.97615305032220234</v>
      </c>
      <c r="N53">
        <f>N52*J53</f>
        <v>0.96638920767580228</v>
      </c>
    </row>
    <row r="54" spans="1:14" x14ac:dyDescent="0.25">
      <c r="A54" t="s">
        <v>58</v>
      </c>
      <c r="B54">
        <v>0.99918929999999995</v>
      </c>
      <c r="C54">
        <v>4.413919E-4</v>
      </c>
      <c r="D54">
        <v>0.99764489999999995</v>
      </c>
      <c r="E54">
        <v>0.99972119999999998</v>
      </c>
      <c r="F54" t="s">
        <v>6</v>
      </c>
      <c r="H54">
        <v>8.33</v>
      </c>
      <c r="I54">
        <f t="shared" ref="I54:I61" si="13">I53+H54</f>
        <v>17.14</v>
      </c>
      <c r="J54">
        <f t="shared" si="0"/>
        <v>0.99326689972181137</v>
      </c>
      <c r="K54">
        <f t="shared" si="3"/>
        <v>0.98055050965557156</v>
      </c>
      <c r="L54">
        <f t="shared" si="1"/>
        <v>0.99767996764158851</v>
      </c>
      <c r="N54">
        <f>N53*J54</f>
        <v>0.95988241223276183</v>
      </c>
    </row>
    <row r="55" spans="1:14" x14ac:dyDescent="0.25">
      <c r="A55" t="s">
        <v>59</v>
      </c>
      <c r="B55">
        <v>0.99682219999999999</v>
      </c>
      <c r="C55">
        <v>6.9063429999999997E-4</v>
      </c>
      <c r="D55">
        <v>0.99513620000000003</v>
      </c>
      <c r="E55">
        <v>0.99792499999999995</v>
      </c>
      <c r="F55" t="s">
        <v>6</v>
      </c>
      <c r="H55">
        <v>7.7</v>
      </c>
      <c r="I55">
        <f t="shared" si="13"/>
        <v>24.84</v>
      </c>
      <c r="J55">
        <f t="shared" si="0"/>
        <v>0.97578986163502313</v>
      </c>
      <c r="K55">
        <f t="shared" si="3"/>
        <v>0.96315335364668864</v>
      </c>
      <c r="L55">
        <f t="shared" si="1"/>
        <v>0.98413312679458365</v>
      </c>
      <c r="N55">
        <f t="shared" ref="N55:N61" si="14">N54*J55</f>
        <v>0.93664352621849889</v>
      </c>
    </row>
    <row r="56" spans="1:14" x14ac:dyDescent="0.25">
      <c r="A56" t="s">
        <v>60</v>
      </c>
      <c r="B56">
        <v>0.99859410000000004</v>
      </c>
      <c r="C56">
        <v>5.2360839999999998E-4</v>
      </c>
      <c r="D56">
        <v>0.99708410000000003</v>
      </c>
      <c r="E56">
        <v>0.99932259999999995</v>
      </c>
      <c r="F56" t="s">
        <v>6</v>
      </c>
      <c r="H56">
        <v>5.79</v>
      </c>
      <c r="I56">
        <f t="shared" si="13"/>
        <v>30.63</v>
      </c>
      <c r="J56">
        <f t="shared" si="0"/>
        <v>0.99188719935043768</v>
      </c>
      <c r="K56">
        <f t="shared" si="3"/>
        <v>0.98323440976792986</v>
      </c>
      <c r="L56">
        <f t="shared" si="1"/>
        <v>0.99608421174084638</v>
      </c>
      <c r="N56">
        <f t="shared" si="14"/>
        <v>0.92904472401058513</v>
      </c>
    </row>
    <row r="57" spans="1:14" x14ac:dyDescent="0.25">
      <c r="A57" t="s">
        <v>61</v>
      </c>
      <c r="B57">
        <v>0.99929670000000004</v>
      </c>
      <c r="C57">
        <v>5.6403180000000005E-4</v>
      </c>
      <c r="D57">
        <v>0.99661840000000002</v>
      </c>
      <c r="E57">
        <v>0.99985400000000002</v>
      </c>
      <c r="F57" t="s">
        <v>6</v>
      </c>
      <c r="H57">
        <v>3.87</v>
      </c>
      <c r="I57">
        <f t="shared" si="13"/>
        <v>34.5</v>
      </c>
      <c r="J57">
        <f t="shared" si="0"/>
        <v>0.99728097470388255</v>
      </c>
      <c r="K57">
        <f t="shared" si="3"/>
        <v>0.98697657915325121</v>
      </c>
      <c r="L57">
        <f t="shared" si="1"/>
        <v>0.99943509836656752</v>
      </c>
      <c r="N57">
        <f t="shared" si="14"/>
        <v>0.9265186279047759</v>
      </c>
    </row>
    <row r="58" spans="1:14" x14ac:dyDescent="0.25">
      <c r="A58" t="s">
        <v>62</v>
      </c>
      <c r="B58">
        <v>0.99150380000000005</v>
      </c>
      <c r="C58">
        <v>1.3039E-3</v>
      </c>
      <c r="D58">
        <v>0.98852700000000004</v>
      </c>
      <c r="E58">
        <v>0.99371319999999996</v>
      </c>
      <c r="F58" t="s">
        <v>6</v>
      </c>
      <c r="H58">
        <v>6.43</v>
      </c>
      <c r="I58">
        <f t="shared" si="13"/>
        <v>40.93</v>
      </c>
      <c r="J58">
        <f t="shared" si="0"/>
        <v>0.94661391177027354</v>
      </c>
      <c r="K58">
        <f t="shared" si="3"/>
        <v>0.92848797940515659</v>
      </c>
      <c r="L58">
        <f t="shared" si="1"/>
        <v>0.96025949064754446</v>
      </c>
      <c r="N58">
        <f t="shared" si="14"/>
        <v>0.87705542268896641</v>
      </c>
    </row>
    <row r="59" spans="1:14" x14ac:dyDescent="0.25">
      <c r="A59" t="s">
        <v>63</v>
      </c>
      <c r="B59">
        <v>0.99841880000000005</v>
      </c>
      <c r="C59">
        <v>1.1688E-3</v>
      </c>
      <c r="D59">
        <v>0.99328629999999996</v>
      </c>
      <c r="E59">
        <v>0.99962910000000005</v>
      </c>
      <c r="F59" t="s">
        <v>6</v>
      </c>
      <c r="H59">
        <v>3.7</v>
      </c>
      <c r="I59">
        <f t="shared" si="13"/>
        <v>44.63</v>
      </c>
      <c r="J59">
        <f t="shared" si="0"/>
        <v>0.99416203727949737</v>
      </c>
      <c r="K59">
        <f t="shared" si="3"/>
        <v>0.97538359793379703</v>
      </c>
      <c r="L59">
        <f t="shared" si="1"/>
        <v>0.99862835700180341</v>
      </c>
      <c r="N59">
        <f t="shared" si="14"/>
        <v>0.87193520582749351</v>
      </c>
    </row>
    <row r="60" spans="1:14" x14ac:dyDescent="0.25">
      <c r="A60" t="s">
        <v>64</v>
      </c>
      <c r="B60">
        <v>0.99316680000000002</v>
      </c>
      <c r="C60">
        <v>8.7039490000000001E-4</v>
      </c>
      <c r="D60">
        <v>0.99123110000000003</v>
      </c>
      <c r="E60">
        <v>0.99467760000000005</v>
      </c>
      <c r="F60" t="s">
        <v>6</v>
      </c>
      <c r="H60">
        <v>16</v>
      </c>
      <c r="I60">
        <f t="shared" si="13"/>
        <v>60.63</v>
      </c>
      <c r="J60">
        <f t="shared" si="0"/>
        <v>0.8960971447537891</v>
      </c>
      <c r="K60">
        <f t="shared" si="3"/>
        <v>0.86855777845566839</v>
      </c>
      <c r="L60">
        <f t="shared" si="1"/>
        <v>0.91815796235850733</v>
      </c>
      <c r="N60">
        <f t="shared" si="14"/>
        <v>0.78133864835232436</v>
      </c>
    </row>
    <row r="61" spans="1:14" x14ac:dyDescent="0.25">
      <c r="A61" t="s">
        <v>65</v>
      </c>
      <c r="B61">
        <v>0.99107909999999999</v>
      </c>
      <c r="C61">
        <v>9.5031110000000005E-4</v>
      </c>
      <c r="D61">
        <v>0.9890101</v>
      </c>
      <c r="E61">
        <v>0.99276140000000002</v>
      </c>
      <c r="F61" t="s">
        <v>6</v>
      </c>
      <c r="H61">
        <v>22.99</v>
      </c>
      <c r="I61">
        <f t="shared" si="13"/>
        <v>83.62</v>
      </c>
      <c r="J61">
        <f t="shared" si="0"/>
        <v>0.81382349869152326</v>
      </c>
      <c r="K61">
        <f t="shared" si="3"/>
        <v>0.77564805473224741</v>
      </c>
      <c r="L61">
        <f t="shared" si="1"/>
        <v>0.84618214278095139</v>
      </c>
      <c r="N61">
        <f t="shared" si="14"/>
        <v>0.63587175246499439</v>
      </c>
    </row>
    <row r="62" spans="1:14" x14ac:dyDescent="0.25">
      <c r="A62" t="s">
        <v>66</v>
      </c>
      <c r="B62">
        <v>0.96189639999999998</v>
      </c>
      <c r="C62">
        <v>4.6157000000000004E-3</v>
      </c>
      <c r="D62">
        <v>0.95174360000000002</v>
      </c>
      <c r="E62">
        <v>0.96998050000000002</v>
      </c>
      <c r="F62" t="s">
        <v>6</v>
      </c>
      <c r="J62">
        <f t="shared" si="0"/>
        <v>1</v>
      </c>
      <c r="K62">
        <f t="shared" si="3"/>
        <v>1</v>
      </c>
      <c r="L62">
        <f t="shared" si="1"/>
        <v>1</v>
      </c>
    </row>
    <row r="63" spans="1:14" x14ac:dyDescent="0.25">
      <c r="A63" t="s">
        <v>67</v>
      </c>
      <c r="B63">
        <v>0.95363710000000002</v>
      </c>
      <c r="C63">
        <v>5.2595999999999997E-3</v>
      </c>
      <c r="D63">
        <v>0.94216710000000004</v>
      </c>
      <c r="E63">
        <v>0.96292180000000005</v>
      </c>
      <c r="F63" t="s">
        <v>6</v>
      </c>
      <c r="J63">
        <f t="shared" si="0"/>
        <v>1</v>
      </c>
      <c r="K63">
        <f t="shared" si="3"/>
        <v>1</v>
      </c>
      <c r="L63">
        <f t="shared" si="1"/>
        <v>1</v>
      </c>
    </row>
    <row r="64" spans="1:14" x14ac:dyDescent="0.25">
      <c r="A64" t="s">
        <v>68</v>
      </c>
      <c r="B64">
        <v>0.91431709999999999</v>
      </c>
      <c r="C64">
        <v>7.4541E-3</v>
      </c>
      <c r="D64">
        <v>0.89853309999999997</v>
      </c>
      <c r="E64">
        <v>0.92784290000000003</v>
      </c>
      <c r="F64" t="s">
        <v>6</v>
      </c>
      <c r="J64">
        <f t="shared" si="0"/>
        <v>1</v>
      </c>
      <c r="K64">
        <f t="shared" si="3"/>
        <v>1</v>
      </c>
      <c r="L64">
        <f t="shared" si="1"/>
        <v>1</v>
      </c>
    </row>
    <row r="65" spans="1:12" x14ac:dyDescent="0.25">
      <c r="A65" t="s">
        <v>69</v>
      </c>
      <c r="B65">
        <v>0.92448249999999998</v>
      </c>
      <c r="C65">
        <v>6.9579000000000004E-3</v>
      </c>
      <c r="D65">
        <v>0.90966340000000001</v>
      </c>
      <c r="E65">
        <v>0.93703890000000001</v>
      </c>
      <c r="F65" t="s">
        <v>6</v>
      </c>
      <c r="J65">
        <f t="shared" si="0"/>
        <v>1</v>
      </c>
      <c r="K65">
        <f t="shared" si="3"/>
        <v>1</v>
      </c>
      <c r="L65">
        <f t="shared" si="1"/>
        <v>1</v>
      </c>
    </row>
    <row r="66" spans="1:12" x14ac:dyDescent="0.25">
      <c r="A66" t="s">
        <v>70</v>
      </c>
      <c r="B66">
        <v>0.90920849999999998</v>
      </c>
      <c r="C66">
        <v>7.7333000000000002E-3</v>
      </c>
      <c r="D66">
        <v>0.89286929999999998</v>
      </c>
      <c r="E66">
        <v>0.92326980000000003</v>
      </c>
      <c r="F66" t="s">
        <v>6</v>
      </c>
      <c r="J66">
        <f t="shared" si="0"/>
        <v>1</v>
      </c>
      <c r="K66">
        <f t="shared" si="3"/>
        <v>1</v>
      </c>
      <c r="L66">
        <f t="shared" si="1"/>
        <v>1</v>
      </c>
    </row>
    <row r="67" spans="1:12" x14ac:dyDescent="0.25">
      <c r="A67" t="s">
        <v>71</v>
      </c>
      <c r="B67">
        <v>0.97518039999999995</v>
      </c>
      <c r="C67">
        <v>3.8605000000000002E-3</v>
      </c>
      <c r="D67">
        <v>0.96637779999999995</v>
      </c>
      <c r="E67">
        <v>0.98172210000000004</v>
      </c>
      <c r="F67" t="s">
        <v>6</v>
      </c>
      <c r="J67">
        <f t="shared" ref="J67:J89" si="15">B67^H67</f>
        <v>1</v>
      </c>
      <c r="K67">
        <f t="shared" si="3"/>
        <v>1</v>
      </c>
      <c r="L67">
        <f t="shared" ref="L67:L89" si="16">E67^H67</f>
        <v>1</v>
      </c>
    </row>
    <row r="68" spans="1:12" x14ac:dyDescent="0.25">
      <c r="A68" t="s">
        <v>72</v>
      </c>
      <c r="B68">
        <v>0.91783979999999998</v>
      </c>
      <c r="C68">
        <v>7.6127E-3</v>
      </c>
      <c r="D68">
        <v>0.90163179999999998</v>
      </c>
      <c r="E68">
        <v>0.93157990000000002</v>
      </c>
      <c r="F68" t="s">
        <v>6</v>
      </c>
      <c r="J68">
        <f t="shared" si="15"/>
        <v>1</v>
      </c>
      <c r="K68">
        <f t="shared" ref="K68:K89" si="17">D68^H68</f>
        <v>1</v>
      </c>
      <c r="L68">
        <f t="shared" si="16"/>
        <v>1</v>
      </c>
    </row>
    <row r="69" spans="1:12" x14ac:dyDescent="0.25">
      <c r="A69" t="s">
        <v>73</v>
      </c>
      <c r="B69">
        <v>0.94409449999999995</v>
      </c>
      <c r="C69">
        <v>6.6013E-3</v>
      </c>
      <c r="D69">
        <v>0.92965640000000005</v>
      </c>
      <c r="E69">
        <v>0.95571030000000001</v>
      </c>
      <c r="F69" t="s">
        <v>6</v>
      </c>
      <c r="J69">
        <f t="shared" si="15"/>
        <v>1</v>
      </c>
      <c r="K69">
        <f t="shared" si="17"/>
        <v>1</v>
      </c>
      <c r="L69">
        <f t="shared" si="16"/>
        <v>1</v>
      </c>
    </row>
    <row r="70" spans="1:12" x14ac:dyDescent="0.25">
      <c r="A70" t="s">
        <v>74</v>
      </c>
      <c r="B70">
        <v>0.94263110000000006</v>
      </c>
      <c r="C70">
        <v>7.5700000000000003E-3</v>
      </c>
      <c r="D70">
        <v>0.92586250000000003</v>
      </c>
      <c r="E70">
        <v>0.95578810000000003</v>
      </c>
      <c r="F70" t="s">
        <v>6</v>
      </c>
      <c r="J70">
        <f t="shared" si="15"/>
        <v>1</v>
      </c>
      <c r="K70">
        <f t="shared" si="17"/>
        <v>1</v>
      </c>
      <c r="L70">
        <f t="shared" si="16"/>
        <v>1</v>
      </c>
    </row>
    <row r="71" spans="1:12" x14ac:dyDescent="0.25">
      <c r="A71" t="s">
        <v>75</v>
      </c>
      <c r="B71">
        <v>0.97745599999999999</v>
      </c>
      <c r="C71">
        <v>2.9272999999999999E-3</v>
      </c>
      <c r="D71">
        <v>0.97094590000000003</v>
      </c>
      <c r="E71">
        <v>0.98253360000000001</v>
      </c>
      <c r="F71" t="s">
        <v>6</v>
      </c>
      <c r="J71">
        <f t="shared" si="15"/>
        <v>1</v>
      </c>
      <c r="K71">
        <f t="shared" si="17"/>
        <v>1</v>
      </c>
      <c r="L71">
        <f t="shared" si="16"/>
        <v>1</v>
      </c>
    </row>
    <row r="72" spans="1:12" x14ac:dyDescent="0.25">
      <c r="A72" t="s">
        <v>76</v>
      </c>
      <c r="B72">
        <v>0.97247280000000003</v>
      </c>
      <c r="C72">
        <v>3.3817999999999999E-3</v>
      </c>
      <c r="D72">
        <v>0.96500949999999996</v>
      </c>
      <c r="E72">
        <v>0.97837989999999997</v>
      </c>
      <c r="F72" t="s">
        <v>6</v>
      </c>
      <c r="J72">
        <f t="shared" si="15"/>
        <v>1</v>
      </c>
      <c r="K72">
        <f t="shared" si="17"/>
        <v>1</v>
      </c>
      <c r="L72">
        <f t="shared" si="16"/>
        <v>1</v>
      </c>
    </row>
    <row r="73" spans="1:12" x14ac:dyDescent="0.25">
      <c r="A73" t="s">
        <v>77</v>
      </c>
      <c r="B73">
        <v>0.94826049999999995</v>
      </c>
      <c r="C73">
        <v>5.0737000000000004E-3</v>
      </c>
      <c r="D73">
        <v>0.93736319999999995</v>
      </c>
      <c r="E73">
        <v>0.95734830000000004</v>
      </c>
      <c r="F73" t="s">
        <v>6</v>
      </c>
      <c r="J73">
        <f t="shared" si="15"/>
        <v>1</v>
      </c>
      <c r="K73">
        <f t="shared" si="17"/>
        <v>1</v>
      </c>
      <c r="L73">
        <f t="shared" si="16"/>
        <v>1</v>
      </c>
    </row>
    <row r="74" spans="1:12" x14ac:dyDescent="0.25">
      <c r="A74" t="s">
        <v>78</v>
      </c>
      <c r="B74">
        <v>0.95459890000000003</v>
      </c>
      <c r="C74">
        <v>4.6728000000000004E-3</v>
      </c>
      <c r="D74">
        <v>0.94450840000000003</v>
      </c>
      <c r="E74">
        <v>0.96292650000000002</v>
      </c>
      <c r="F74" t="s">
        <v>6</v>
      </c>
      <c r="J74">
        <f t="shared" si="15"/>
        <v>1</v>
      </c>
      <c r="K74">
        <f t="shared" si="17"/>
        <v>1</v>
      </c>
      <c r="L74">
        <f t="shared" si="16"/>
        <v>1</v>
      </c>
    </row>
    <row r="75" spans="1:12" x14ac:dyDescent="0.25">
      <c r="A75" t="s">
        <v>79</v>
      </c>
      <c r="B75">
        <v>0.94505410000000001</v>
      </c>
      <c r="C75">
        <v>5.3E-3</v>
      </c>
      <c r="D75">
        <v>0.93369239999999998</v>
      </c>
      <c r="E75">
        <v>0.95456370000000001</v>
      </c>
      <c r="F75" t="s">
        <v>6</v>
      </c>
      <c r="J75">
        <f t="shared" si="15"/>
        <v>1</v>
      </c>
      <c r="K75">
        <f t="shared" si="17"/>
        <v>1</v>
      </c>
      <c r="L75">
        <f t="shared" si="16"/>
        <v>1</v>
      </c>
    </row>
    <row r="76" spans="1:12" x14ac:dyDescent="0.25">
      <c r="A76" t="s">
        <v>80</v>
      </c>
      <c r="B76">
        <v>0.98539779999999999</v>
      </c>
      <c r="C76">
        <v>2.3760999999999999E-3</v>
      </c>
      <c r="D76">
        <v>0.9799293</v>
      </c>
      <c r="E76">
        <v>0.98939250000000001</v>
      </c>
      <c r="F76" t="s">
        <v>6</v>
      </c>
      <c r="J76">
        <f t="shared" si="15"/>
        <v>1</v>
      </c>
      <c r="K76">
        <f t="shared" si="17"/>
        <v>1</v>
      </c>
      <c r="L76">
        <f t="shared" si="16"/>
        <v>1</v>
      </c>
    </row>
    <row r="77" spans="1:12" x14ac:dyDescent="0.25">
      <c r="A77" t="s">
        <v>81</v>
      </c>
      <c r="B77">
        <v>0.95046330000000001</v>
      </c>
      <c r="C77">
        <v>5.1095000000000003E-3</v>
      </c>
      <c r="D77">
        <v>0.93943350000000003</v>
      </c>
      <c r="E77">
        <v>0.9595709</v>
      </c>
      <c r="F77" t="s">
        <v>6</v>
      </c>
      <c r="J77">
        <f t="shared" si="15"/>
        <v>1</v>
      </c>
      <c r="K77">
        <f t="shared" si="17"/>
        <v>1</v>
      </c>
      <c r="L77">
        <f t="shared" si="16"/>
        <v>1</v>
      </c>
    </row>
    <row r="78" spans="1:12" x14ac:dyDescent="0.25">
      <c r="A78" t="s">
        <v>82</v>
      </c>
      <c r="B78">
        <v>0.96667159999999996</v>
      </c>
      <c r="C78">
        <v>4.2183000000000003E-3</v>
      </c>
      <c r="D78">
        <v>0.95733699999999999</v>
      </c>
      <c r="E78">
        <v>0.97401919999999997</v>
      </c>
      <c r="F78" t="s">
        <v>6</v>
      </c>
      <c r="J78">
        <f t="shared" si="15"/>
        <v>1</v>
      </c>
      <c r="K78">
        <f t="shared" si="17"/>
        <v>1</v>
      </c>
      <c r="L78">
        <f t="shared" si="16"/>
        <v>1</v>
      </c>
    </row>
    <row r="79" spans="1:12" x14ac:dyDescent="0.25">
      <c r="A79" t="s">
        <v>83</v>
      </c>
      <c r="B79">
        <v>0.96577769999999996</v>
      </c>
      <c r="C79">
        <v>4.7394000000000004E-3</v>
      </c>
      <c r="D79">
        <v>0.95516959999999995</v>
      </c>
      <c r="E79">
        <v>0.97394420000000004</v>
      </c>
      <c r="F79" t="s">
        <v>6</v>
      </c>
      <c r="J79">
        <f t="shared" si="15"/>
        <v>1</v>
      </c>
      <c r="K79">
        <f t="shared" si="17"/>
        <v>1</v>
      </c>
      <c r="L79">
        <f t="shared" si="16"/>
        <v>1</v>
      </c>
    </row>
    <row r="80" spans="1:12" x14ac:dyDescent="0.25">
      <c r="A80" t="s">
        <v>84</v>
      </c>
      <c r="B80">
        <v>0.95561750000000001</v>
      </c>
      <c r="C80">
        <v>5.2135999999999997E-3</v>
      </c>
      <c r="D80">
        <v>0.94420059999999995</v>
      </c>
      <c r="E80">
        <v>0.96478549999999996</v>
      </c>
      <c r="F80" t="s">
        <v>6</v>
      </c>
      <c r="J80">
        <f t="shared" si="15"/>
        <v>1</v>
      </c>
      <c r="K80">
        <f t="shared" si="17"/>
        <v>1</v>
      </c>
      <c r="L80">
        <f t="shared" si="16"/>
        <v>1</v>
      </c>
    </row>
    <row r="81" spans="1:12" x14ac:dyDescent="0.25">
      <c r="A81" t="s">
        <v>85</v>
      </c>
      <c r="B81">
        <v>0.94607339999999995</v>
      </c>
      <c r="C81">
        <v>5.8910000000000004E-3</v>
      </c>
      <c r="D81">
        <v>0.93329110000000004</v>
      </c>
      <c r="E81">
        <v>0.9565205</v>
      </c>
      <c r="F81" t="s">
        <v>6</v>
      </c>
      <c r="J81">
        <f t="shared" si="15"/>
        <v>1</v>
      </c>
      <c r="K81">
        <f t="shared" si="17"/>
        <v>1</v>
      </c>
      <c r="L81">
        <f t="shared" si="16"/>
        <v>1</v>
      </c>
    </row>
    <row r="82" spans="1:12" x14ac:dyDescent="0.25">
      <c r="A82" t="s">
        <v>86</v>
      </c>
      <c r="B82">
        <v>0.90100460000000004</v>
      </c>
      <c r="C82">
        <v>8.1154E-3</v>
      </c>
      <c r="D82">
        <v>0.88392210000000004</v>
      </c>
      <c r="E82">
        <v>0.91581259999999998</v>
      </c>
      <c r="F82" t="s">
        <v>6</v>
      </c>
      <c r="J82">
        <f t="shared" si="15"/>
        <v>1</v>
      </c>
      <c r="K82">
        <f t="shared" si="17"/>
        <v>1</v>
      </c>
      <c r="L82">
        <f t="shared" si="16"/>
        <v>1</v>
      </c>
    </row>
    <row r="83" spans="1:12" x14ac:dyDescent="0.25">
      <c r="A83" t="s">
        <v>87</v>
      </c>
      <c r="B83">
        <v>0.91259840000000003</v>
      </c>
      <c r="C83">
        <v>7.6363000000000004E-3</v>
      </c>
      <c r="D83">
        <v>0.89642659999999996</v>
      </c>
      <c r="E83">
        <v>0.92645230000000001</v>
      </c>
      <c r="F83" t="s">
        <v>6</v>
      </c>
      <c r="J83">
        <f t="shared" si="15"/>
        <v>1</v>
      </c>
      <c r="K83">
        <f t="shared" si="17"/>
        <v>1</v>
      </c>
      <c r="L83">
        <f t="shared" si="16"/>
        <v>1</v>
      </c>
    </row>
    <row r="84" spans="1:12" x14ac:dyDescent="0.25">
      <c r="A84" t="s">
        <v>88</v>
      </c>
      <c r="B84">
        <v>0.89519320000000002</v>
      </c>
      <c r="C84">
        <v>8.3815999999999995E-3</v>
      </c>
      <c r="D84">
        <v>0.87759229999999999</v>
      </c>
      <c r="E84">
        <v>0.91052140000000004</v>
      </c>
      <c r="F84" t="s">
        <v>6</v>
      </c>
      <c r="J84">
        <f t="shared" si="15"/>
        <v>1</v>
      </c>
      <c r="K84">
        <f t="shared" si="17"/>
        <v>1</v>
      </c>
      <c r="L84">
        <f t="shared" si="16"/>
        <v>1</v>
      </c>
    </row>
    <row r="85" spans="1:12" x14ac:dyDescent="0.25">
      <c r="A85" t="s">
        <v>89</v>
      </c>
      <c r="B85">
        <v>0.97102460000000002</v>
      </c>
      <c r="C85">
        <v>4.4285000000000001E-3</v>
      </c>
      <c r="D85">
        <v>0.96096210000000004</v>
      </c>
      <c r="E85">
        <v>0.97855119999999995</v>
      </c>
      <c r="F85" t="s">
        <v>6</v>
      </c>
      <c r="J85">
        <f t="shared" si="15"/>
        <v>1</v>
      </c>
      <c r="K85">
        <f t="shared" si="17"/>
        <v>1</v>
      </c>
      <c r="L85">
        <f t="shared" si="16"/>
        <v>1</v>
      </c>
    </row>
    <row r="86" spans="1:12" x14ac:dyDescent="0.25">
      <c r="A86" t="s">
        <v>90</v>
      </c>
      <c r="B86">
        <v>0.90501779999999998</v>
      </c>
      <c r="C86">
        <v>8.3847999999999995E-3</v>
      </c>
      <c r="D86">
        <v>0.88726289999999997</v>
      </c>
      <c r="E86">
        <v>0.92022789999999999</v>
      </c>
      <c r="F86" t="s">
        <v>6</v>
      </c>
      <c r="J86">
        <f t="shared" si="15"/>
        <v>1</v>
      </c>
      <c r="K86">
        <f t="shared" si="17"/>
        <v>1</v>
      </c>
      <c r="L86">
        <f t="shared" si="16"/>
        <v>1</v>
      </c>
    </row>
    <row r="87" spans="1:12" x14ac:dyDescent="0.25">
      <c r="A87" t="s">
        <v>91</v>
      </c>
      <c r="B87">
        <v>0.93508000000000002</v>
      </c>
      <c r="C87">
        <v>7.2933E-3</v>
      </c>
      <c r="D87">
        <v>0.91923489999999997</v>
      </c>
      <c r="E87">
        <v>0.94799230000000001</v>
      </c>
      <c r="F87" t="s">
        <v>6</v>
      </c>
      <c r="J87">
        <f t="shared" si="15"/>
        <v>1</v>
      </c>
      <c r="K87">
        <f t="shared" si="17"/>
        <v>1</v>
      </c>
      <c r="L87">
        <f t="shared" si="16"/>
        <v>1</v>
      </c>
    </row>
    <row r="88" spans="1:12" x14ac:dyDescent="0.25">
      <c r="A88" t="s">
        <v>92</v>
      </c>
      <c r="B88">
        <v>0.93339729999999999</v>
      </c>
      <c r="C88">
        <v>8.2213000000000008E-3</v>
      </c>
      <c r="D88">
        <v>0.915358</v>
      </c>
      <c r="E88">
        <v>0.94781119999999996</v>
      </c>
      <c r="F88" t="s">
        <v>6</v>
      </c>
      <c r="J88">
        <f t="shared" si="15"/>
        <v>1</v>
      </c>
      <c r="K88">
        <f t="shared" si="17"/>
        <v>1</v>
      </c>
      <c r="L88">
        <f t="shared" si="16"/>
        <v>1</v>
      </c>
    </row>
    <row r="89" spans="1:12" x14ac:dyDescent="0.25">
      <c r="A89" t="s">
        <v>93</v>
      </c>
      <c r="B89">
        <v>0.99</v>
      </c>
      <c r="C89">
        <v>0</v>
      </c>
      <c r="D89">
        <v>0.99</v>
      </c>
      <c r="E89">
        <v>0.99</v>
      </c>
      <c r="F89" t="s">
        <v>94</v>
      </c>
      <c r="J89">
        <f t="shared" si="15"/>
        <v>1</v>
      </c>
      <c r="K89">
        <f t="shared" si="17"/>
        <v>1</v>
      </c>
      <c r="L89">
        <f t="shared" si="16"/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resultsPN_AllYears72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Molina Moctezuma, Alejandro</dc:creator>
  <cp:lastModifiedBy>Molina Moctezuma, Alejandro</cp:lastModifiedBy>
  <dcterms:created xsi:type="dcterms:W3CDTF">2023-06-09T19:52:38Z</dcterms:created>
  <dcterms:modified xsi:type="dcterms:W3CDTF">2023-07-31T15:13:31Z</dcterms:modified>
</cp:coreProperties>
</file>